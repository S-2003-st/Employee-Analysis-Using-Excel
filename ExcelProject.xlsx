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slicers/slicer4.xml" ContentType="application/vnd.ms-excel.slicer+xml"/>
  <Override PartName="/xl/timelines/timeline1.xml" ContentType="application/vnd.ms-excel.timelin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ree\Desktop\"/>
    </mc:Choice>
  </mc:AlternateContent>
  <bookViews>
    <workbookView xWindow="0" yWindow="0" windowWidth="23040" windowHeight="10524" activeTab="1"/>
  </bookViews>
  <sheets>
    <sheet name="DataBase" sheetId="1" r:id="rId1"/>
    <sheet name="DashBorad" sheetId="9" r:id="rId2"/>
    <sheet name="Line Chart" sheetId="4" r:id="rId3"/>
    <sheet name="Pie Chart" sheetId="5" r:id="rId4"/>
    <sheet name="10" sheetId="23" r:id="rId5"/>
    <sheet name="BarChart" sheetId="6" r:id="rId6"/>
    <sheet name="Slicer" sheetId="8" r:id="rId7"/>
    <sheet name="Bar" sheetId="10" r:id="rId8"/>
    <sheet name="1" sheetId="12" r:id="rId9"/>
    <sheet name="7" sheetId="21" r:id="rId10"/>
    <sheet name="8" sheetId="22" r:id="rId11"/>
    <sheet name="3" sheetId="17" r:id="rId12"/>
    <sheet name="4" sheetId="18" r:id="rId13"/>
    <sheet name="6" sheetId="19" r:id="rId14"/>
  </sheets>
  <definedNames>
    <definedName name="NativeTimeline_Order_Date">#N/A</definedName>
    <definedName name="Slicer_Category">#N/A</definedName>
    <definedName name="Slicer_Quarter">#N/A</definedName>
    <definedName name="Slicer_Region">#N/A</definedName>
    <definedName name="Slicer_Statues">#N/A</definedName>
    <definedName name="Slicer_year">#N/A</definedName>
    <definedName name="Slicer_year1">#N/A</definedName>
  </definedNames>
  <calcPr calcId="152511"/>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01" i="1" l="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2" i="1"/>
  <c r="S3" i="1"/>
  <c r="N47" i="1"/>
  <c r="H207" i="1" l="1"/>
  <c r="L201" i="1" l="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N2" i="1"/>
  <c r="P139" i="1"/>
  <c r="P138" i="1" l="1"/>
  <c r="R201"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K201" i="1" l="1"/>
  <c r="R200" i="1" s="1"/>
  <c r="K200" i="1"/>
  <c r="R199" i="1" s="1"/>
  <c r="K199" i="1"/>
  <c r="R198" i="1" s="1"/>
  <c r="K198" i="1"/>
  <c r="R197" i="1" s="1"/>
  <c r="K197" i="1"/>
  <c r="R196" i="1" s="1"/>
  <c r="K196" i="1"/>
  <c r="R195" i="1" s="1"/>
  <c r="K195" i="1"/>
  <c r="R194" i="1" s="1"/>
  <c r="K194" i="1"/>
  <c r="R193" i="1" s="1"/>
  <c r="K193" i="1"/>
  <c r="R192" i="1" s="1"/>
  <c r="K192" i="1"/>
  <c r="R191" i="1" s="1"/>
  <c r="K191" i="1"/>
  <c r="R190" i="1" s="1"/>
  <c r="K190" i="1"/>
  <c r="R189" i="1" s="1"/>
  <c r="K189" i="1"/>
  <c r="R188" i="1" s="1"/>
  <c r="K188" i="1"/>
  <c r="R187" i="1" s="1"/>
  <c r="K187" i="1"/>
  <c r="R186" i="1" s="1"/>
  <c r="K186" i="1"/>
  <c r="R185" i="1" s="1"/>
  <c r="K185" i="1"/>
  <c r="R184" i="1" s="1"/>
  <c r="K184" i="1"/>
  <c r="R183" i="1" s="1"/>
  <c r="K183" i="1"/>
  <c r="R182" i="1" s="1"/>
  <c r="K182" i="1"/>
  <c r="R181" i="1" s="1"/>
  <c r="K181" i="1"/>
  <c r="R180" i="1" s="1"/>
  <c r="K180" i="1"/>
  <c r="R179" i="1" s="1"/>
  <c r="K179" i="1"/>
  <c r="R178" i="1" s="1"/>
  <c r="K178" i="1"/>
  <c r="R177" i="1" s="1"/>
  <c r="K177" i="1"/>
  <c r="R176" i="1" s="1"/>
  <c r="K176" i="1"/>
  <c r="R175" i="1" s="1"/>
  <c r="K175" i="1"/>
  <c r="R174" i="1" s="1"/>
  <c r="K174" i="1"/>
  <c r="R173" i="1" s="1"/>
  <c r="K173" i="1"/>
  <c r="R172" i="1" s="1"/>
  <c r="K172" i="1"/>
  <c r="R171" i="1" s="1"/>
  <c r="K171" i="1"/>
  <c r="R170" i="1" s="1"/>
  <c r="K170" i="1"/>
  <c r="R169" i="1" s="1"/>
  <c r="K169" i="1"/>
  <c r="R168" i="1" s="1"/>
  <c r="K168" i="1"/>
  <c r="R167" i="1" s="1"/>
  <c r="K167" i="1"/>
  <c r="R166" i="1" s="1"/>
  <c r="K166" i="1"/>
  <c r="R165" i="1" s="1"/>
  <c r="K165" i="1"/>
  <c r="R164" i="1" s="1"/>
  <c r="K164" i="1"/>
  <c r="R163" i="1" s="1"/>
  <c r="K163" i="1"/>
  <c r="R162" i="1" s="1"/>
  <c r="K162" i="1"/>
  <c r="R161" i="1" s="1"/>
  <c r="K161" i="1"/>
  <c r="R160" i="1" s="1"/>
  <c r="K160" i="1"/>
  <c r="R159" i="1" s="1"/>
  <c r="K159" i="1"/>
  <c r="R158" i="1" s="1"/>
  <c r="K158" i="1"/>
  <c r="R157" i="1" s="1"/>
  <c r="K157" i="1"/>
  <c r="R156" i="1" s="1"/>
  <c r="K156" i="1"/>
  <c r="R155" i="1" s="1"/>
  <c r="K155" i="1"/>
  <c r="R154" i="1" s="1"/>
  <c r="K154" i="1"/>
  <c r="R153" i="1" s="1"/>
  <c r="K153" i="1"/>
  <c r="R152" i="1" s="1"/>
  <c r="K152" i="1"/>
  <c r="R151" i="1" s="1"/>
  <c r="K151" i="1"/>
  <c r="R150" i="1" s="1"/>
  <c r="K150" i="1"/>
  <c r="R149" i="1" s="1"/>
  <c r="K149" i="1"/>
  <c r="R148" i="1" s="1"/>
  <c r="K148" i="1"/>
  <c r="R147" i="1" s="1"/>
  <c r="K147" i="1"/>
  <c r="R146" i="1" s="1"/>
  <c r="K146" i="1"/>
  <c r="R145" i="1" s="1"/>
  <c r="K145" i="1"/>
  <c r="R144" i="1" s="1"/>
  <c r="K144" i="1"/>
  <c r="R143" i="1" s="1"/>
  <c r="K143" i="1"/>
  <c r="R142" i="1" s="1"/>
  <c r="K142" i="1"/>
  <c r="R141" i="1" s="1"/>
  <c r="K141" i="1"/>
  <c r="R140" i="1" s="1"/>
  <c r="K140" i="1"/>
  <c r="R139" i="1" s="1"/>
  <c r="K139" i="1"/>
  <c r="R138" i="1" s="1"/>
  <c r="K138" i="1"/>
  <c r="R137" i="1" s="1"/>
  <c r="K137" i="1"/>
  <c r="R136" i="1" s="1"/>
  <c r="K136" i="1"/>
  <c r="R135" i="1" s="1"/>
  <c r="K135" i="1"/>
  <c r="R134" i="1" s="1"/>
  <c r="K134" i="1"/>
  <c r="R133" i="1" s="1"/>
  <c r="K133" i="1"/>
  <c r="R132" i="1" s="1"/>
  <c r="K132" i="1"/>
  <c r="R131" i="1" s="1"/>
  <c r="K131" i="1"/>
  <c r="R130" i="1" s="1"/>
  <c r="K130" i="1"/>
  <c r="R129" i="1" s="1"/>
  <c r="K129" i="1"/>
  <c r="R128" i="1" s="1"/>
  <c r="K128" i="1"/>
  <c r="R127" i="1" s="1"/>
  <c r="K127" i="1"/>
  <c r="R126" i="1" s="1"/>
  <c r="K126" i="1"/>
  <c r="R125" i="1" s="1"/>
  <c r="K125" i="1"/>
  <c r="R124" i="1" s="1"/>
  <c r="K124" i="1"/>
  <c r="R123" i="1" s="1"/>
  <c r="K123" i="1"/>
  <c r="R122" i="1" s="1"/>
  <c r="K122" i="1"/>
  <c r="R121" i="1" s="1"/>
  <c r="K121" i="1"/>
  <c r="R120" i="1" s="1"/>
  <c r="K120" i="1"/>
  <c r="R119" i="1" s="1"/>
  <c r="K119" i="1"/>
  <c r="R118" i="1" s="1"/>
  <c r="K118" i="1"/>
  <c r="R117" i="1" s="1"/>
  <c r="K117" i="1"/>
  <c r="R116" i="1" s="1"/>
  <c r="K116" i="1"/>
  <c r="R115" i="1" s="1"/>
  <c r="K115" i="1"/>
  <c r="R114" i="1" s="1"/>
  <c r="K114" i="1"/>
  <c r="R113" i="1" s="1"/>
  <c r="K113" i="1"/>
  <c r="R112" i="1" s="1"/>
  <c r="K112" i="1"/>
  <c r="R111" i="1" s="1"/>
  <c r="K111" i="1"/>
  <c r="R110" i="1" s="1"/>
  <c r="K110" i="1"/>
  <c r="R109" i="1" s="1"/>
  <c r="K109" i="1"/>
  <c r="R108" i="1" s="1"/>
  <c r="K108" i="1"/>
  <c r="R107" i="1" s="1"/>
  <c r="K107" i="1"/>
  <c r="R106" i="1" s="1"/>
  <c r="K106" i="1"/>
  <c r="R105" i="1" s="1"/>
  <c r="K105" i="1"/>
  <c r="R104" i="1" s="1"/>
  <c r="K104" i="1"/>
  <c r="R103" i="1" s="1"/>
  <c r="K103" i="1"/>
  <c r="R102" i="1" s="1"/>
  <c r="K102" i="1"/>
  <c r="R101" i="1" s="1"/>
  <c r="K101" i="1"/>
  <c r="R100" i="1" s="1"/>
  <c r="K100" i="1"/>
  <c r="R99" i="1" s="1"/>
  <c r="K99" i="1"/>
  <c r="R98" i="1" s="1"/>
  <c r="K98" i="1"/>
  <c r="R97" i="1" s="1"/>
  <c r="K97" i="1"/>
  <c r="R96" i="1" s="1"/>
  <c r="K96" i="1"/>
  <c r="R95" i="1" s="1"/>
  <c r="K95" i="1"/>
  <c r="R94" i="1" s="1"/>
  <c r="K94" i="1"/>
  <c r="R93" i="1" s="1"/>
  <c r="K93" i="1"/>
  <c r="R92" i="1" s="1"/>
  <c r="K92" i="1"/>
  <c r="R91" i="1" s="1"/>
  <c r="K91" i="1"/>
  <c r="R90" i="1" s="1"/>
  <c r="K90" i="1"/>
  <c r="R89" i="1" s="1"/>
  <c r="K89" i="1"/>
  <c r="R88" i="1" s="1"/>
  <c r="K88" i="1"/>
  <c r="R87" i="1" s="1"/>
  <c r="K87" i="1"/>
  <c r="R86" i="1" s="1"/>
  <c r="K86" i="1"/>
  <c r="R85" i="1" s="1"/>
  <c r="K85" i="1"/>
  <c r="R84" i="1" s="1"/>
  <c r="K84" i="1"/>
  <c r="R83" i="1" s="1"/>
  <c r="K83" i="1"/>
  <c r="R82" i="1" s="1"/>
  <c r="K82" i="1"/>
  <c r="R81" i="1" s="1"/>
  <c r="K81" i="1"/>
  <c r="R80" i="1" s="1"/>
  <c r="K80" i="1"/>
  <c r="R79" i="1" s="1"/>
  <c r="K79" i="1"/>
  <c r="R78" i="1" s="1"/>
  <c r="K78" i="1"/>
  <c r="R77" i="1" s="1"/>
  <c r="K77" i="1"/>
  <c r="R76" i="1" s="1"/>
  <c r="K76" i="1"/>
  <c r="R75" i="1" s="1"/>
  <c r="K75" i="1"/>
  <c r="R74" i="1" s="1"/>
  <c r="K74" i="1"/>
  <c r="R73" i="1" s="1"/>
  <c r="K73" i="1"/>
  <c r="R72" i="1" s="1"/>
  <c r="K72" i="1"/>
  <c r="R71" i="1" s="1"/>
  <c r="K71" i="1"/>
  <c r="R70" i="1" s="1"/>
  <c r="K70" i="1"/>
  <c r="R69" i="1" s="1"/>
  <c r="K69" i="1"/>
  <c r="R68" i="1" s="1"/>
  <c r="K68" i="1"/>
  <c r="R67" i="1" s="1"/>
  <c r="K67" i="1"/>
  <c r="R66" i="1" s="1"/>
  <c r="K66" i="1"/>
  <c r="R65" i="1" s="1"/>
  <c r="K65" i="1"/>
  <c r="R64" i="1" s="1"/>
  <c r="K64" i="1"/>
  <c r="R63" i="1" s="1"/>
  <c r="K63" i="1"/>
  <c r="R62" i="1" s="1"/>
  <c r="K62" i="1"/>
  <c r="R61" i="1" s="1"/>
  <c r="K61" i="1"/>
  <c r="R60" i="1" s="1"/>
  <c r="K60" i="1"/>
  <c r="R59" i="1" s="1"/>
  <c r="K59" i="1"/>
  <c r="R58" i="1" s="1"/>
  <c r="K58" i="1"/>
  <c r="R57" i="1" s="1"/>
  <c r="K57" i="1"/>
  <c r="R56" i="1" s="1"/>
  <c r="K56" i="1"/>
  <c r="R55" i="1" s="1"/>
  <c r="K55" i="1"/>
  <c r="R54" i="1" s="1"/>
  <c r="K54" i="1"/>
  <c r="R53" i="1" s="1"/>
  <c r="K53" i="1"/>
  <c r="R52" i="1" s="1"/>
  <c r="K52" i="1"/>
  <c r="R51" i="1" s="1"/>
  <c r="K51" i="1"/>
  <c r="R50" i="1" s="1"/>
  <c r="K50" i="1"/>
  <c r="R49" i="1" s="1"/>
  <c r="K49" i="1"/>
  <c r="R48" i="1" s="1"/>
  <c r="K48" i="1"/>
  <c r="R47" i="1" s="1"/>
  <c r="K47" i="1"/>
  <c r="R46" i="1" s="1"/>
  <c r="K46" i="1"/>
  <c r="R45" i="1" s="1"/>
  <c r="K45" i="1"/>
  <c r="R44" i="1" s="1"/>
  <c r="K44" i="1"/>
  <c r="R43" i="1" s="1"/>
  <c r="K43" i="1"/>
  <c r="R42" i="1" s="1"/>
  <c r="K42" i="1"/>
  <c r="R41" i="1" s="1"/>
  <c r="K41" i="1"/>
  <c r="R40" i="1" s="1"/>
  <c r="K40" i="1"/>
  <c r="R39" i="1" s="1"/>
  <c r="K39" i="1"/>
  <c r="R38" i="1" s="1"/>
  <c r="K38" i="1"/>
  <c r="R37" i="1" s="1"/>
  <c r="K37" i="1"/>
  <c r="R36" i="1" s="1"/>
  <c r="K36" i="1"/>
  <c r="R35" i="1" s="1"/>
  <c r="K35" i="1"/>
  <c r="R34" i="1" s="1"/>
  <c r="K34" i="1"/>
  <c r="R33" i="1" s="1"/>
  <c r="K33" i="1"/>
  <c r="R32" i="1" s="1"/>
  <c r="K32" i="1"/>
  <c r="R31" i="1" s="1"/>
  <c r="K31" i="1"/>
  <c r="R30" i="1" s="1"/>
  <c r="K30" i="1"/>
  <c r="R29" i="1" s="1"/>
  <c r="K29" i="1"/>
  <c r="R28" i="1" s="1"/>
  <c r="K28" i="1"/>
  <c r="R27" i="1" s="1"/>
  <c r="K27" i="1"/>
  <c r="R26" i="1" s="1"/>
  <c r="K26" i="1"/>
  <c r="R25" i="1" s="1"/>
  <c r="K25" i="1"/>
  <c r="R24" i="1" s="1"/>
  <c r="K24" i="1"/>
  <c r="R23" i="1" s="1"/>
  <c r="K23" i="1"/>
  <c r="R22" i="1" s="1"/>
  <c r="K22" i="1"/>
  <c r="R21" i="1" s="1"/>
  <c r="K21" i="1"/>
  <c r="R20" i="1" s="1"/>
  <c r="K20" i="1"/>
  <c r="R19" i="1" s="1"/>
  <c r="K19" i="1"/>
  <c r="R18" i="1" s="1"/>
  <c r="K18" i="1"/>
  <c r="R17" i="1" s="1"/>
  <c r="K17" i="1"/>
  <c r="R16" i="1" s="1"/>
  <c r="K16" i="1"/>
  <c r="R15" i="1" s="1"/>
  <c r="K15" i="1"/>
  <c r="R14" i="1" s="1"/>
  <c r="K14" i="1"/>
  <c r="R13" i="1" s="1"/>
  <c r="K13" i="1"/>
  <c r="R12" i="1" s="1"/>
  <c r="K12" i="1"/>
  <c r="R11" i="1" s="1"/>
  <c r="K11" i="1"/>
  <c r="R10" i="1" s="1"/>
  <c r="K10" i="1"/>
  <c r="R9" i="1" s="1"/>
  <c r="K9" i="1"/>
  <c r="R8" i="1" s="1"/>
  <c r="K8" i="1"/>
  <c r="R7" i="1" s="1"/>
  <c r="K7" i="1"/>
  <c r="R6" i="1" s="1"/>
  <c r="K6" i="1"/>
  <c r="R5" i="1" s="1"/>
  <c r="K5" i="1"/>
  <c r="R4" i="1" s="1"/>
  <c r="K4" i="1"/>
  <c r="R3" i="1" s="1"/>
  <c r="K3" i="1"/>
  <c r="K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M2" i="1" l="1"/>
  <c r="R2" i="1"/>
  <c r="L207" i="1"/>
  <c r="M26" i="1"/>
  <c r="Q26" i="1" s="1"/>
  <c r="M50" i="1"/>
  <c r="Q50" i="1" s="1"/>
  <c r="M82" i="1"/>
  <c r="Q82" i="1" s="1"/>
  <c r="M106" i="1"/>
  <c r="Q106" i="1" s="1"/>
  <c r="M146" i="1"/>
  <c r="Q146" i="1" s="1"/>
  <c r="M194" i="1"/>
  <c r="Q194" i="1" s="1"/>
  <c r="M19" i="1"/>
  <c r="Q19" i="1" s="1"/>
  <c r="M59" i="1"/>
  <c r="Q59" i="1" s="1"/>
  <c r="M179" i="1"/>
  <c r="Q179" i="1" s="1"/>
  <c r="M4" i="1"/>
  <c r="Q4" i="1" s="1"/>
  <c r="M28" i="1"/>
  <c r="Q28" i="1" s="1"/>
  <c r="M52" i="1"/>
  <c r="Q52" i="1" s="1"/>
  <c r="M76" i="1"/>
  <c r="Q76" i="1" s="1"/>
  <c r="M116" i="1"/>
  <c r="Q116" i="1" s="1"/>
  <c r="M140" i="1"/>
  <c r="Q140" i="1" s="1"/>
  <c r="M180" i="1"/>
  <c r="Q180" i="1" s="1"/>
  <c r="M21" i="1"/>
  <c r="Q21" i="1" s="1"/>
  <c r="M45" i="1"/>
  <c r="Q45" i="1" s="1"/>
  <c r="M77" i="1"/>
  <c r="Q77" i="1" s="1"/>
  <c r="M109" i="1"/>
  <c r="Q109" i="1" s="1"/>
  <c r="M133" i="1"/>
  <c r="Q133" i="1" s="1"/>
  <c r="M181" i="1"/>
  <c r="Q181" i="1" s="1"/>
  <c r="M6" i="1"/>
  <c r="Q6" i="1" s="1"/>
  <c r="M30" i="1"/>
  <c r="Q30" i="1" s="1"/>
  <c r="M54" i="1"/>
  <c r="Q54" i="1" s="1"/>
  <c r="M94" i="1"/>
  <c r="Q94" i="1" s="1"/>
  <c r="M198" i="1"/>
  <c r="Q198" i="1" s="1"/>
  <c r="M7" i="1"/>
  <c r="Q7" i="1" s="1"/>
  <c r="M15" i="1"/>
  <c r="Q15" i="1" s="1"/>
  <c r="M23" i="1"/>
  <c r="Q23" i="1" s="1"/>
  <c r="M31" i="1"/>
  <c r="Q31" i="1" s="1"/>
  <c r="M39" i="1"/>
  <c r="Q39" i="1" s="1"/>
  <c r="M47" i="1"/>
  <c r="Q47" i="1" s="1"/>
  <c r="M55" i="1"/>
  <c r="Q55" i="1" s="1"/>
  <c r="M63" i="1"/>
  <c r="Q63" i="1" s="1"/>
  <c r="M71" i="1"/>
  <c r="Q71" i="1" s="1"/>
  <c r="M79" i="1"/>
  <c r="Q79" i="1" s="1"/>
  <c r="M87" i="1"/>
  <c r="Q87" i="1" s="1"/>
  <c r="M95" i="1"/>
  <c r="Q95" i="1" s="1"/>
  <c r="M103" i="1"/>
  <c r="Q103" i="1" s="1"/>
  <c r="M111" i="1"/>
  <c r="Q111" i="1" s="1"/>
  <c r="M119" i="1"/>
  <c r="Q119" i="1" s="1"/>
  <c r="M127" i="1"/>
  <c r="Q127" i="1" s="1"/>
  <c r="M135" i="1"/>
  <c r="Q135" i="1" s="1"/>
  <c r="M143" i="1"/>
  <c r="Q143" i="1" s="1"/>
  <c r="M151" i="1"/>
  <c r="Q151" i="1" s="1"/>
  <c r="M159" i="1"/>
  <c r="Q159" i="1" s="1"/>
  <c r="M167" i="1"/>
  <c r="Q167" i="1" s="1"/>
  <c r="M175" i="1"/>
  <c r="Q175" i="1" s="1"/>
  <c r="M183" i="1"/>
  <c r="Q183" i="1" s="1"/>
  <c r="M191" i="1"/>
  <c r="Q191" i="1" s="1"/>
  <c r="M199" i="1"/>
  <c r="Q199" i="1" s="1"/>
  <c r="M18" i="1"/>
  <c r="Q18" i="1" s="1"/>
  <c r="M42" i="1"/>
  <c r="Q42" i="1" s="1"/>
  <c r="M66" i="1"/>
  <c r="Q66" i="1" s="1"/>
  <c r="M90" i="1"/>
  <c r="Q90" i="1" s="1"/>
  <c r="M122" i="1"/>
  <c r="Q122" i="1" s="1"/>
  <c r="M138" i="1"/>
  <c r="Q138" i="1" s="1"/>
  <c r="M162" i="1"/>
  <c r="Q162" i="1" s="1"/>
  <c r="M186" i="1"/>
  <c r="Q186" i="1" s="1"/>
  <c r="M11" i="1"/>
  <c r="Q11" i="1" s="1"/>
  <c r="M35" i="1"/>
  <c r="Q35" i="1" s="1"/>
  <c r="M51" i="1"/>
  <c r="Q51" i="1" s="1"/>
  <c r="M75" i="1"/>
  <c r="Q75" i="1" s="1"/>
  <c r="M83" i="1"/>
  <c r="Q83" i="1" s="1"/>
  <c r="M99" i="1"/>
  <c r="Q99" i="1" s="1"/>
  <c r="M123" i="1"/>
  <c r="Q123" i="1" s="1"/>
  <c r="M139" i="1"/>
  <c r="Q139" i="1" s="1"/>
  <c r="M155" i="1"/>
  <c r="Q155" i="1" s="1"/>
  <c r="M171" i="1"/>
  <c r="Q171" i="1" s="1"/>
  <c r="M187" i="1"/>
  <c r="Q187" i="1" s="1"/>
  <c r="M12" i="1"/>
  <c r="Q12" i="1" s="1"/>
  <c r="M36" i="1"/>
  <c r="Q36" i="1" s="1"/>
  <c r="M60" i="1"/>
  <c r="Q60" i="1" s="1"/>
  <c r="M84" i="1"/>
  <c r="Q84" i="1" s="1"/>
  <c r="M108" i="1"/>
  <c r="Q108" i="1" s="1"/>
  <c r="M132" i="1"/>
  <c r="Q132" i="1" s="1"/>
  <c r="M156" i="1"/>
  <c r="Q156" i="1" s="1"/>
  <c r="M172" i="1"/>
  <c r="Q172" i="1" s="1"/>
  <c r="M188" i="1"/>
  <c r="Q188" i="1" s="1"/>
  <c r="M13" i="1"/>
  <c r="Q13" i="1" s="1"/>
  <c r="M37" i="1"/>
  <c r="Q37" i="1" s="1"/>
  <c r="M61" i="1"/>
  <c r="Q61" i="1" s="1"/>
  <c r="M85" i="1"/>
  <c r="Q85" i="1" s="1"/>
  <c r="M101" i="1"/>
  <c r="Q101" i="1" s="1"/>
  <c r="M125" i="1"/>
  <c r="Q125" i="1" s="1"/>
  <c r="M149" i="1"/>
  <c r="Q149" i="1" s="1"/>
  <c r="M165" i="1"/>
  <c r="Q165" i="1" s="1"/>
  <c r="M197" i="1"/>
  <c r="Q197" i="1" s="1"/>
  <c r="M14" i="1"/>
  <c r="Q14" i="1" s="1"/>
  <c r="M38" i="1"/>
  <c r="Q38" i="1" s="1"/>
  <c r="M62" i="1"/>
  <c r="Q62" i="1" s="1"/>
  <c r="M78" i="1"/>
  <c r="Q78" i="1" s="1"/>
  <c r="M102" i="1"/>
  <c r="Q102" i="1" s="1"/>
  <c r="M118" i="1"/>
  <c r="Q118" i="1" s="1"/>
  <c r="M134" i="1"/>
  <c r="Q134" i="1" s="1"/>
  <c r="M150" i="1"/>
  <c r="Q150" i="1" s="1"/>
  <c r="M166" i="1"/>
  <c r="Q166" i="1" s="1"/>
  <c r="M190" i="1"/>
  <c r="Q190" i="1" s="1"/>
  <c r="M8" i="1"/>
  <c r="Q8" i="1" s="1"/>
  <c r="M16" i="1"/>
  <c r="Q16" i="1" s="1"/>
  <c r="M24" i="1"/>
  <c r="Q24" i="1" s="1"/>
  <c r="M32" i="1"/>
  <c r="Q32" i="1" s="1"/>
  <c r="M40" i="1"/>
  <c r="Q40" i="1" s="1"/>
  <c r="M48" i="1"/>
  <c r="Q48" i="1" s="1"/>
  <c r="M56" i="1"/>
  <c r="Q56" i="1" s="1"/>
  <c r="M64" i="1"/>
  <c r="Q64" i="1" s="1"/>
  <c r="M72" i="1"/>
  <c r="Q72" i="1" s="1"/>
  <c r="M80" i="1"/>
  <c r="Q80" i="1" s="1"/>
  <c r="M88" i="1"/>
  <c r="Q88" i="1" s="1"/>
  <c r="M96" i="1"/>
  <c r="Q96" i="1" s="1"/>
  <c r="M104" i="1"/>
  <c r="Q104" i="1" s="1"/>
  <c r="M112" i="1"/>
  <c r="Q112" i="1" s="1"/>
  <c r="M120" i="1"/>
  <c r="Q120" i="1" s="1"/>
  <c r="M128" i="1"/>
  <c r="Q128" i="1" s="1"/>
  <c r="M136" i="1"/>
  <c r="Q136" i="1" s="1"/>
  <c r="M144" i="1"/>
  <c r="Q144" i="1" s="1"/>
  <c r="M152" i="1"/>
  <c r="Q152" i="1" s="1"/>
  <c r="M160" i="1"/>
  <c r="Q160" i="1" s="1"/>
  <c r="M168" i="1"/>
  <c r="Q168" i="1" s="1"/>
  <c r="M176" i="1"/>
  <c r="Q176" i="1" s="1"/>
  <c r="M184" i="1"/>
  <c r="Q184" i="1" s="1"/>
  <c r="M192" i="1"/>
  <c r="Q192" i="1" s="1"/>
  <c r="M200" i="1"/>
  <c r="Q200" i="1" s="1"/>
  <c r="M10" i="1"/>
  <c r="Q10" i="1" s="1"/>
  <c r="M34" i="1"/>
  <c r="Q34" i="1" s="1"/>
  <c r="M58" i="1"/>
  <c r="Q58" i="1" s="1"/>
  <c r="M74" i="1"/>
  <c r="Q74" i="1" s="1"/>
  <c r="M98" i="1"/>
  <c r="Q98" i="1" s="1"/>
  <c r="M114" i="1"/>
  <c r="Q114" i="1" s="1"/>
  <c r="M130" i="1"/>
  <c r="Q130" i="1" s="1"/>
  <c r="M154" i="1"/>
  <c r="Q154" i="1" s="1"/>
  <c r="M170" i="1"/>
  <c r="Q170" i="1" s="1"/>
  <c r="M178" i="1"/>
  <c r="Q178" i="1" s="1"/>
  <c r="M3" i="1"/>
  <c r="Q3" i="1" s="1"/>
  <c r="M27" i="1"/>
  <c r="Q27" i="1" s="1"/>
  <c r="M43" i="1"/>
  <c r="Q43" i="1" s="1"/>
  <c r="M67" i="1"/>
  <c r="Q67" i="1" s="1"/>
  <c r="M91" i="1"/>
  <c r="Q91" i="1" s="1"/>
  <c r="M107" i="1"/>
  <c r="Q107" i="1" s="1"/>
  <c r="M115" i="1"/>
  <c r="Q115" i="1" s="1"/>
  <c r="M131" i="1"/>
  <c r="Q131" i="1" s="1"/>
  <c r="M147" i="1"/>
  <c r="Q147" i="1" s="1"/>
  <c r="M163" i="1"/>
  <c r="Q163" i="1" s="1"/>
  <c r="M195" i="1"/>
  <c r="Q195" i="1" s="1"/>
  <c r="M20" i="1"/>
  <c r="Q20" i="1" s="1"/>
  <c r="M44" i="1"/>
  <c r="Q44" i="1" s="1"/>
  <c r="M68" i="1"/>
  <c r="Q68" i="1" s="1"/>
  <c r="M92" i="1"/>
  <c r="Q92" i="1" s="1"/>
  <c r="M100" i="1"/>
  <c r="Q100" i="1" s="1"/>
  <c r="M124" i="1"/>
  <c r="Q124" i="1" s="1"/>
  <c r="M148" i="1"/>
  <c r="Q148" i="1" s="1"/>
  <c r="M164" i="1"/>
  <c r="Q164" i="1" s="1"/>
  <c r="M196" i="1"/>
  <c r="Q196" i="1" s="1"/>
  <c r="M5" i="1"/>
  <c r="Q5" i="1" s="1"/>
  <c r="M29" i="1"/>
  <c r="Q29" i="1" s="1"/>
  <c r="M53" i="1"/>
  <c r="Q53" i="1" s="1"/>
  <c r="M69" i="1"/>
  <c r="Q69" i="1" s="1"/>
  <c r="M93" i="1"/>
  <c r="Q93" i="1" s="1"/>
  <c r="M117" i="1"/>
  <c r="Q117" i="1" s="1"/>
  <c r="M141" i="1"/>
  <c r="Q141" i="1" s="1"/>
  <c r="M157" i="1"/>
  <c r="Q157" i="1" s="1"/>
  <c r="M173" i="1"/>
  <c r="Q173" i="1" s="1"/>
  <c r="M189" i="1"/>
  <c r="Q189" i="1" s="1"/>
  <c r="M22" i="1"/>
  <c r="Q22" i="1" s="1"/>
  <c r="M46" i="1"/>
  <c r="Q46" i="1" s="1"/>
  <c r="M70" i="1"/>
  <c r="Q70" i="1" s="1"/>
  <c r="M86" i="1"/>
  <c r="Q86" i="1" s="1"/>
  <c r="M110" i="1"/>
  <c r="Q110" i="1" s="1"/>
  <c r="M126" i="1"/>
  <c r="Q126" i="1" s="1"/>
  <c r="M142" i="1"/>
  <c r="Q142" i="1" s="1"/>
  <c r="M158" i="1"/>
  <c r="Q158" i="1" s="1"/>
  <c r="M174" i="1"/>
  <c r="Q174" i="1" s="1"/>
  <c r="M182" i="1"/>
  <c r="Q182" i="1" s="1"/>
  <c r="M9" i="1"/>
  <c r="Q9" i="1" s="1"/>
  <c r="M17" i="1"/>
  <c r="Q17" i="1" s="1"/>
  <c r="M25" i="1"/>
  <c r="Q25" i="1" s="1"/>
  <c r="M33" i="1"/>
  <c r="Q33" i="1" s="1"/>
  <c r="M41" i="1"/>
  <c r="Q41" i="1" s="1"/>
  <c r="M49" i="1"/>
  <c r="Q49" i="1" s="1"/>
  <c r="M57" i="1"/>
  <c r="Q57" i="1" s="1"/>
  <c r="M65" i="1"/>
  <c r="Q65" i="1" s="1"/>
  <c r="M73" i="1"/>
  <c r="Q73" i="1" s="1"/>
  <c r="M81" i="1"/>
  <c r="Q81" i="1" s="1"/>
  <c r="M89" i="1"/>
  <c r="Q89" i="1" s="1"/>
  <c r="M97" i="1"/>
  <c r="Q97" i="1" s="1"/>
  <c r="M105" i="1"/>
  <c r="Q105" i="1" s="1"/>
  <c r="M113" i="1"/>
  <c r="Q113" i="1" s="1"/>
  <c r="M121" i="1"/>
  <c r="Q121" i="1" s="1"/>
  <c r="M129" i="1"/>
  <c r="Q129" i="1" s="1"/>
  <c r="M137" i="1"/>
  <c r="Q137" i="1" s="1"/>
  <c r="M145" i="1"/>
  <c r="Q145" i="1" s="1"/>
  <c r="M153" i="1"/>
  <c r="Q153" i="1" s="1"/>
  <c r="M161" i="1"/>
  <c r="Q161" i="1" s="1"/>
  <c r="M169" i="1"/>
  <c r="Q169" i="1" s="1"/>
  <c r="M177" i="1"/>
  <c r="Q177" i="1" s="1"/>
  <c r="M185" i="1"/>
  <c r="Q185" i="1" s="1"/>
  <c r="M193" i="1"/>
  <c r="Q193" i="1" s="1"/>
  <c r="M201" i="1"/>
  <c r="Q201" i="1" s="1"/>
  <c r="Q206" i="1" l="1"/>
  <c r="Q2" i="1"/>
</calcChain>
</file>

<file path=xl/sharedStrings.xml><?xml version="1.0" encoding="utf-8"?>
<sst xmlns="http://schemas.openxmlformats.org/spreadsheetml/2006/main" count="1121" uniqueCount="450">
  <si>
    <t>Order-ID</t>
  </si>
  <si>
    <t>Order Date</t>
  </si>
  <si>
    <t>Region</t>
  </si>
  <si>
    <t>Product</t>
  </si>
  <si>
    <t>Category</t>
  </si>
  <si>
    <t>Selling Price</t>
  </si>
  <si>
    <t>Total Cost</t>
  </si>
  <si>
    <t>Revenue</t>
  </si>
  <si>
    <t>Profit</t>
  </si>
  <si>
    <t>South</t>
  </si>
  <si>
    <t>North</t>
  </si>
  <si>
    <t>West</t>
  </si>
  <si>
    <t>East</t>
  </si>
  <si>
    <t>SalesPerson</t>
  </si>
  <si>
    <t>Kiran Thorat</t>
  </si>
  <si>
    <t>Maroti Bhise</t>
  </si>
  <si>
    <t>Sachin Kale</t>
  </si>
  <si>
    <t>Satyam Dange</t>
  </si>
  <si>
    <t>Ganesh Mali</t>
  </si>
  <si>
    <t>Shivanad Butte</t>
  </si>
  <si>
    <t>Raj Kinkar</t>
  </si>
  <si>
    <t>Kondiba Mulgir</t>
  </si>
  <si>
    <t>Sanket Jadhav</t>
  </si>
  <si>
    <t>Sundar Ingole</t>
  </si>
  <si>
    <t>Pradip Ingle</t>
  </si>
  <si>
    <t>Kartik Tandle</t>
  </si>
  <si>
    <t>Sneha Nirfhal</t>
  </si>
  <si>
    <t>Rutuja Pawar</t>
  </si>
  <si>
    <t>Sakshi Jagtap</t>
  </si>
  <si>
    <t>Saloni Rahikar</t>
  </si>
  <si>
    <t>Amruta Mane</t>
  </si>
  <si>
    <t>Mona Yede</t>
  </si>
  <si>
    <t>Priynka Gaikwad</t>
  </si>
  <si>
    <t>Sahil Bhole</t>
  </si>
  <si>
    <t>Dinesh Ghule</t>
  </si>
  <si>
    <t>Ruchita Fartade</t>
  </si>
  <si>
    <t>Asha Dhokar</t>
  </si>
  <si>
    <t>Vaibhav Tayde</t>
  </si>
  <si>
    <t>Rohan Sawant</t>
  </si>
  <si>
    <t>Karan Puri</t>
  </si>
  <si>
    <t>Pradip Kinkar</t>
  </si>
  <si>
    <t>Ganesh Gaikwad</t>
  </si>
  <si>
    <t>Maroti Jagtap</t>
  </si>
  <si>
    <t>Ruchita Tandle</t>
  </si>
  <si>
    <t>Rutuja Bhise</t>
  </si>
  <si>
    <t>Ruchita Tayde</t>
  </si>
  <si>
    <t>Mona Mane</t>
  </si>
  <si>
    <t>Dinesh Yede</t>
  </si>
  <si>
    <t>Priynka Rahikar</t>
  </si>
  <si>
    <t>Dinesh Tayde</t>
  </si>
  <si>
    <t>Sakshi Bhole</t>
  </si>
  <si>
    <t>Mona Dhokar</t>
  </si>
  <si>
    <t>Sakshi Rahikar</t>
  </si>
  <si>
    <t>Kiran Bhise</t>
  </si>
  <si>
    <t>Rutuja Ingle</t>
  </si>
  <si>
    <t>Vaibhav Yede</t>
  </si>
  <si>
    <t>Priynka Puri</t>
  </si>
  <si>
    <t>Ganesh Ghule</t>
  </si>
  <si>
    <t>Maroti Mali</t>
  </si>
  <si>
    <t>Vaibhav Mane</t>
  </si>
  <si>
    <t>Shivanad Sawant</t>
  </si>
  <si>
    <t>Sakshi Sawant</t>
  </si>
  <si>
    <t>Asha Tayde</t>
  </si>
  <si>
    <t>Amruta Dhokar</t>
  </si>
  <si>
    <t>Karan Ingole</t>
  </si>
  <si>
    <t>Pradip Pawar</t>
  </si>
  <si>
    <t>Dinesh Dhokar</t>
  </si>
  <si>
    <t>Kondiba Kinkar</t>
  </si>
  <si>
    <t>Sachin Yede</t>
  </si>
  <si>
    <t>Shivanad Jagtap</t>
  </si>
  <si>
    <t>Sneha Jagtap</t>
  </si>
  <si>
    <t>Sneha Yede</t>
  </si>
  <si>
    <t>Satyam Nirfhal</t>
  </si>
  <si>
    <t>Sneha Sawant</t>
  </si>
  <si>
    <t>Kartik Jagtap</t>
  </si>
  <si>
    <t>Shivanad Mane</t>
  </si>
  <si>
    <t>Sundar Mulgir</t>
  </si>
  <si>
    <t>Amruta Butte</t>
  </si>
  <si>
    <t>Karan Bhise</t>
  </si>
  <si>
    <t>Sachin Tayde</t>
  </si>
  <si>
    <t>Vaibhav Ingole</t>
  </si>
  <si>
    <t>Priynka Ingole</t>
  </si>
  <si>
    <t>Sneha Butte</t>
  </si>
  <si>
    <t>Asha Dange</t>
  </si>
  <si>
    <t>Mona Dange</t>
  </si>
  <si>
    <t>Shivanad Fartade</t>
  </si>
  <si>
    <t>Kondiba Fartade</t>
  </si>
  <si>
    <t>Satyam Dhokar</t>
  </si>
  <si>
    <t>Mona Rahikar</t>
  </si>
  <si>
    <t>Mona Kale</t>
  </si>
  <si>
    <t>Sahil Mali</t>
  </si>
  <si>
    <t>Saloni Thorat</t>
  </si>
  <si>
    <t>Kondiba Rahikar</t>
  </si>
  <si>
    <t>Ganesh Fartade</t>
  </si>
  <si>
    <t>Kondiba Pawar</t>
  </si>
  <si>
    <t>Rutuja Mane</t>
  </si>
  <si>
    <t>Vaibhav Fartade</t>
  </si>
  <si>
    <t>Sakshi Butte</t>
  </si>
  <si>
    <t>Shivanad Ghule</t>
  </si>
  <si>
    <t>Sahil Rahikar</t>
  </si>
  <si>
    <t>Raj Ingole</t>
  </si>
  <si>
    <t>Sneha Mane</t>
  </si>
  <si>
    <t>Sachin Tandle</t>
  </si>
  <si>
    <t>Dinesh Kinkar</t>
  </si>
  <si>
    <t>Amruta Kale</t>
  </si>
  <si>
    <t>Sundar Bhise</t>
  </si>
  <si>
    <t>Ganesh Butte</t>
  </si>
  <si>
    <t>Priynka Sawant</t>
  </si>
  <si>
    <t>Rutuja Yede</t>
  </si>
  <si>
    <t>Mona Puri</t>
  </si>
  <si>
    <t>Shivanad Gaikwad</t>
  </si>
  <si>
    <t>Sahil Sawant</t>
  </si>
  <si>
    <t>Sneha Dhokar</t>
  </si>
  <si>
    <t>Sakshi Fartade</t>
  </si>
  <si>
    <t>Sundar Tandle</t>
  </si>
  <si>
    <t>Saloni Bhise</t>
  </si>
  <si>
    <t>Ruchita Kale</t>
  </si>
  <si>
    <t>Sakshi Kale</t>
  </si>
  <si>
    <t>Shivanad Ingle</t>
  </si>
  <si>
    <t>Asha Puri</t>
  </si>
  <si>
    <t>Priynka Dange</t>
  </si>
  <si>
    <t>Kartik Thorat</t>
  </si>
  <si>
    <t>Pradip Tandle</t>
  </si>
  <si>
    <t>Sanket Mulgir</t>
  </si>
  <si>
    <t>Satyam Bhise</t>
  </si>
  <si>
    <t>Sundar Kinkar</t>
  </si>
  <si>
    <t>Karan Butte</t>
  </si>
  <si>
    <t>Raj Jagtap</t>
  </si>
  <si>
    <t>Sneha Kale</t>
  </si>
  <si>
    <t>Saloni Jagtap</t>
  </si>
  <si>
    <t>Vaibhav Nirfhal</t>
  </si>
  <si>
    <t>Sundar Mali</t>
  </si>
  <si>
    <t>Asha Mane</t>
  </si>
  <si>
    <t>Priynka Yede</t>
  </si>
  <si>
    <t>Sakshi Puri</t>
  </si>
  <si>
    <t>Rohan Mane</t>
  </si>
  <si>
    <t>Rohan Ingole</t>
  </si>
  <si>
    <t>Dinesh Dange</t>
  </si>
  <si>
    <t>Dinesh Butte</t>
  </si>
  <si>
    <t>Priynka Pawar</t>
  </si>
  <si>
    <t>Asha Butte</t>
  </si>
  <si>
    <t>Sakshi Gaikwad</t>
  </si>
  <si>
    <t>Pradip Mulgir</t>
  </si>
  <si>
    <t>Sundar Sawant</t>
  </si>
  <si>
    <t>Asha Bhole</t>
  </si>
  <si>
    <t>Asha Gaikwad</t>
  </si>
  <si>
    <t>Sachin Dhokar</t>
  </si>
  <si>
    <t>Saloni Puri</t>
  </si>
  <si>
    <t>Sachin Fartade</t>
  </si>
  <si>
    <t>Satyam Tandle</t>
  </si>
  <si>
    <t>Priynka Ghule</t>
  </si>
  <si>
    <t>Sahil Ingle</t>
  </si>
  <si>
    <t>Shivanad Mali</t>
  </si>
  <si>
    <t>Sakshi Dange</t>
  </si>
  <si>
    <t>Sneha Mulgir</t>
  </si>
  <si>
    <t>Sachin Jadhav</t>
  </si>
  <si>
    <t>Maroti Mane</t>
  </si>
  <si>
    <t>Ruchita Mulgir</t>
  </si>
  <si>
    <t>Sahil Bhise</t>
  </si>
  <si>
    <t>Sanket Butte</t>
  </si>
  <si>
    <t>Ganesh Thorat</t>
  </si>
  <si>
    <t>Kondiba Mane</t>
  </si>
  <si>
    <t>Karan Pawar</t>
  </si>
  <si>
    <t>Asha Jagtap</t>
  </si>
  <si>
    <t>Kartik Pawar</t>
  </si>
  <si>
    <t>Sundar Dange</t>
  </si>
  <si>
    <t>Karan Kinkar</t>
  </si>
  <si>
    <t>Sneha Ingole</t>
  </si>
  <si>
    <t>Ruchita Ghule</t>
  </si>
  <si>
    <t>Kartik Sawant</t>
  </si>
  <si>
    <t>Kondiba Tayde</t>
  </si>
  <si>
    <t>Kartik Mane</t>
  </si>
  <si>
    <t>Raj Butte</t>
  </si>
  <si>
    <t>Kartik Nirfhal</t>
  </si>
  <si>
    <t>Maroti Fartade</t>
  </si>
  <si>
    <t>Sachin Mane</t>
  </si>
  <si>
    <t>Rohan Pawar</t>
  </si>
  <si>
    <t>Ruchita Bhise</t>
  </si>
  <si>
    <t>Amruta Fartade</t>
  </si>
  <si>
    <t>Dinesh Gaikwad</t>
  </si>
  <si>
    <t>Sakshi Ghule</t>
  </si>
  <si>
    <t>Saloni Dange</t>
  </si>
  <si>
    <t>Ganesh Nirfhal</t>
  </si>
  <si>
    <t>Asha Mulgir</t>
  </si>
  <si>
    <t>Sneha Fartade</t>
  </si>
  <si>
    <t>Maroti Kinkar</t>
  </si>
  <si>
    <t>Rice</t>
  </si>
  <si>
    <t>Sugar</t>
  </si>
  <si>
    <t>Salt</t>
  </si>
  <si>
    <t>Milk</t>
  </si>
  <si>
    <t>Bread</t>
  </si>
  <si>
    <t>Eggs</t>
  </si>
  <si>
    <t>Butter</t>
  </si>
  <si>
    <t>Cheese</t>
  </si>
  <si>
    <t>Tea</t>
  </si>
  <si>
    <t>Coffee</t>
  </si>
  <si>
    <t>Biscuits</t>
  </si>
  <si>
    <t>Soap</t>
  </si>
  <si>
    <t>Shampoo</t>
  </si>
  <si>
    <t>Detergent</t>
  </si>
  <si>
    <t>Toothpaste</t>
  </si>
  <si>
    <t>Vegetables</t>
  </si>
  <si>
    <t>Fruits</t>
  </si>
  <si>
    <t>Lentils</t>
  </si>
  <si>
    <t>Cooking</t>
  </si>
  <si>
    <t>Wheat</t>
  </si>
  <si>
    <t xml:space="preserve">Grains  </t>
  </si>
  <si>
    <t xml:space="preserve">Dairy  </t>
  </si>
  <si>
    <t xml:space="preserve">Beverages  </t>
  </si>
  <si>
    <t xml:space="preserve">Produce  </t>
  </si>
  <si>
    <t xml:space="preserve">(dal) Pulses </t>
  </si>
  <si>
    <t xml:space="preserve">Snacks  </t>
  </si>
  <si>
    <t xml:space="preserve">Staples  </t>
  </si>
  <si>
    <t xml:space="preserve">HouseUse  </t>
  </si>
  <si>
    <t xml:space="preserve">Personal Care </t>
  </si>
  <si>
    <t>oil Edible Oils</t>
  </si>
  <si>
    <t xml:space="preserve">flour Grains </t>
  </si>
  <si>
    <t xml:space="preserve">Bekery  </t>
  </si>
  <si>
    <t>Units Sold</t>
  </si>
  <si>
    <t>Cost per Unit</t>
  </si>
  <si>
    <t>Month</t>
  </si>
  <si>
    <t>year</t>
  </si>
  <si>
    <t>Quarter</t>
  </si>
  <si>
    <t>Profit Status</t>
  </si>
  <si>
    <t>High Performer</t>
  </si>
  <si>
    <t>TI101</t>
  </si>
  <si>
    <t>TI102</t>
  </si>
  <si>
    <t>TI103</t>
  </si>
  <si>
    <t>TI104</t>
  </si>
  <si>
    <t>TI105</t>
  </si>
  <si>
    <t>TI106</t>
  </si>
  <si>
    <t>TI107</t>
  </si>
  <si>
    <t>TI108</t>
  </si>
  <si>
    <t>TI109</t>
  </si>
  <si>
    <t>TI110</t>
  </si>
  <si>
    <t>TI111</t>
  </si>
  <si>
    <t>TI112</t>
  </si>
  <si>
    <t>TI113</t>
  </si>
  <si>
    <t>TI114</t>
  </si>
  <si>
    <t>TI115</t>
  </si>
  <si>
    <t>TI116</t>
  </si>
  <si>
    <t>TI117</t>
  </si>
  <si>
    <t>TI118</t>
  </si>
  <si>
    <t>TI119</t>
  </si>
  <si>
    <t>TI120</t>
  </si>
  <si>
    <t>TI121</t>
  </si>
  <si>
    <t>TI122</t>
  </si>
  <si>
    <t>TI123</t>
  </si>
  <si>
    <t>TI124</t>
  </si>
  <si>
    <t>TI125</t>
  </si>
  <si>
    <t>TI126</t>
  </si>
  <si>
    <t>TI127</t>
  </si>
  <si>
    <t>TI128</t>
  </si>
  <si>
    <t>TI129</t>
  </si>
  <si>
    <t>TI130</t>
  </si>
  <si>
    <t>TI131</t>
  </si>
  <si>
    <t>TI132</t>
  </si>
  <si>
    <t>TI133</t>
  </si>
  <si>
    <t>TI134</t>
  </si>
  <si>
    <t>TI135</t>
  </si>
  <si>
    <t>TI136</t>
  </si>
  <si>
    <t>TI137</t>
  </si>
  <si>
    <t>TI138</t>
  </si>
  <si>
    <t>TI139</t>
  </si>
  <si>
    <t>TI140</t>
  </si>
  <si>
    <t>TI141</t>
  </si>
  <si>
    <t>TI142</t>
  </si>
  <si>
    <t>TI143</t>
  </si>
  <si>
    <t>TI144</t>
  </si>
  <si>
    <t>TI145</t>
  </si>
  <si>
    <t>TI146</t>
  </si>
  <si>
    <t>TI147</t>
  </si>
  <si>
    <t>TI148</t>
  </si>
  <si>
    <t>TI149</t>
  </si>
  <si>
    <t>TI150</t>
  </si>
  <si>
    <t>TI151</t>
  </si>
  <si>
    <t>TI152</t>
  </si>
  <si>
    <t>TI153</t>
  </si>
  <si>
    <t>TI154</t>
  </si>
  <si>
    <t>TI155</t>
  </si>
  <si>
    <t>TI156</t>
  </si>
  <si>
    <t>TI157</t>
  </si>
  <si>
    <t>TI158</t>
  </si>
  <si>
    <t>TI159</t>
  </si>
  <si>
    <t>TI160</t>
  </si>
  <si>
    <t>TI161</t>
  </si>
  <si>
    <t>TI162</t>
  </si>
  <si>
    <t>TI163</t>
  </si>
  <si>
    <t>TI164</t>
  </si>
  <si>
    <t>TI165</t>
  </si>
  <si>
    <t>TI166</t>
  </si>
  <si>
    <t>TI167</t>
  </si>
  <si>
    <t>TI168</t>
  </si>
  <si>
    <t>TI169</t>
  </si>
  <si>
    <t>TI170</t>
  </si>
  <si>
    <t>TI171</t>
  </si>
  <si>
    <t>TI172</t>
  </si>
  <si>
    <t>TI173</t>
  </si>
  <si>
    <t>TI174</t>
  </si>
  <si>
    <t>TI175</t>
  </si>
  <si>
    <t>TI176</t>
  </si>
  <si>
    <t>TI177</t>
  </si>
  <si>
    <t>TI178</t>
  </si>
  <si>
    <t>TI179</t>
  </si>
  <si>
    <t>TI180</t>
  </si>
  <si>
    <t>TI181</t>
  </si>
  <si>
    <t>TI182</t>
  </si>
  <si>
    <t>TI183</t>
  </si>
  <si>
    <t>TI184</t>
  </si>
  <si>
    <t>TI185</t>
  </si>
  <si>
    <t>TI186</t>
  </si>
  <si>
    <t>TI187</t>
  </si>
  <si>
    <t>TI188</t>
  </si>
  <si>
    <t>TI189</t>
  </si>
  <si>
    <t>TI190</t>
  </si>
  <si>
    <t>TI191</t>
  </si>
  <si>
    <t>TI192</t>
  </si>
  <si>
    <t>TI193</t>
  </si>
  <si>
    <t>TI194</t>
  </si>
  <si>
    <t>TI195</t>
  </si>
  <si>
    <t>TI196</t>
  </si>
  <si>
    <t>TI197</t>
  </si>
  <si>
    <t>TI198</t>
  </si>
  <si>
    <t>TI199</t>
  </si>
  <si>
    <t>TI200</t>
  </si>
  <si>
    <t>TI201</t>
  </si>
  <si>
    <t>TI202</t>
  </si>
  <si>
    <t>TI203</t>
  </si>
  <si>
    <t>TI204</t>
  </si>
  <si>
    <t>TI205</t>
  </si>
  <si>
    <t>TI206</t>
  </si>
  <si>
    <t>TI207</t>
  </si>
  <si>
    <t>TI208</t>
  </si>
  <si>
    <t>TI209</t>
  </si>
  <si>
    <t>TI210</t>
  </si>
  <si>
    <t>TI211</t>
  </si>
  <si>
    <t>TI212</t>
  </si>
  <si>
    <t>TI213</t>
  </si>
  <si>
    <t>TI214</t>
  </si>
  <si>
    <t>TI215</t>
  </si>
  <si>
    <t>TI216</t>
  </si>
  <si>
    <t>TI217</t>
  </si>
  <si>
    <t>TI218</t>
  </si>
  <si>
    <t>TI219</t>
  </si>
  <si>
    <t>TI220</t>
  </si>
  <si>
    <t>TI221</t>
  </si>
  <si>
    <t>TI222</t>
  </si>
  <si>
    <t>TI223</t>
  </si>
  <si>
    <t>TI224</t>
  </si>
  <si>
    <t>TI225</t>
  </si>
  <si>
    <t>TI226</t>
  </si>
  <si>
    <t>TI227</t>
  </si>
  <si>
    <t>TI228</t>
  </si>
  <si>
    <t>TI229</t>
  </si>
  <si>
    <t>TI230</t>
  </si>
  <si>
    <t>TI231</t>
  </si>
  <si>
    <t>TI232</t>
  </si>
  <si>
    <t>TI233</t>
  </si>
  <si>
    <t>TI234</t>
  </si>
  <si>
    <t>TI235</t>
  </si>
  <si>
    <t>TI236</t>
  </si>
  <si>
    <t>TI237</t>
  </si>
  <si>
    <t>TI238</t>
  </si>
  <si>
    <t>TI239</t>
  </si>
  <si>
    <t>TI240</t>
  </si>
  <si>
    <t>TI241</t>
  </si>
  <si>
    <t>TI242</t>
  </si>
  <si>
    <t>TI243</t>
  </si>
  <si>
    <t>TI244</t>
  </si>
  <si>
    <t>TI245</t>
  </si>
  <si>
    <t>TI246</t>
  </si>
  <si>
    <t>TI247</t>
  </si>
  <si>
    <t>TI248</t>
  </si>
  <si>
    <t>TI249</t>
  </si>
  <si>
    <t>TI250</t>
  </si>
  <si>
    <t>TI251</t>
  </si>
  <si>
    <t>TI252</t>
  </si>
  <si>
    <t>TI253</t>
  </si>
  <si>
    <t>TI254</t>
  </si>
  <si>
    <t>TI255</t>
  </si>
  <si>
    <t>TI256</t>
  </si>
  <si>
    <t>TI257</t>
  </si>
  <si>
    <t>TI258</t>
  </si>
  <si>
    <t>TI259</t>
  </si>
  <si>
    <t>TI260</t>
  </si>
  <si>
    <t>TI261</t>
  </si>
  <si>
    <t>TI262</t>
  </si>
  <si>
    <t>TI263</t>
  </si>
  <si>
    <t>TI264</t>
  </si>
  <si>
    <t>TI265</t>
  </si>
  <si>
    <t>TI266</t>
  </si>
  <si>
    <t>TI267</t>
  </si>
  <si>
    <t>TI268</t>
  </si>
  <si>
    <t>TI269</t>
  </si>
  <si>
    <t>TI270</t>
  </si>
  <si>
    <t>TI271</t>
  </si>
  <si>
    <t>TI272</t>
  </si>
  <si>
    <t>TI273</t>
  </si>
  <si>
    <t>TI274</t>
  </si>
  <si>
    <t>TI275</t>
  </si>
  <si>
    <t>TI276</t>
  </si>
  <si>
    <t>TI277</t>
  </si>
  <si>
    <t>TI278</t>
  </si>
  <si>
    <t>TI279</t>
  </si>
  <si>
    <t>TI280</t>
  </si>
  <si>
    <t>TI281</t>
  </si>
  <si>
    <t>TI282</t>
  </si>
  <si>
    <t>TI283</t>
  </si>
  <si>
    <t>TI284</t>
  </si>
  <si>
    <t>TI285</t>
  </si>
  <si>
    <t>TI286</t>
  </si>
  <si>
    <t>TI287</t>
  </si>
  <si>
    <t>TI288</t>
  </si>
  <si>
    <t>TI289</t>
  </si>
  <si>
    <t>TI290</t>
  </si>
  <si>
    <t>TI291</t>
  </si>
  <si>
    <t>TI292</t>
  </si>
  <si>
    <t>TI293</t>
  </si>
  <si>
    <t>TI294</t>
  </si>
  <si>
    <t>TI295</t>
  </si>
  <si>
    <t>TI296</t>
  </si>
  <si>
    <t>TI297</t>
  </si>
  <si>
    <t>TI298</t>
  </si>
  <si>
    <t>TI299</t>
  </si>
  <si>
    <t>TI300</t>
  </si>
  <si>
    <t>Sum of Revenue</t>
  </si>
  <si>
    <t>Grand Total</t>
  </si>
  <si>
    <t>Row Labels</t>
  </si>
  <si>
    <t>Total Revenu</t>
  </si>
  <si>
    <t>Average</t>
  </si>
  <si>
    <t>region</t>
  </si>
  <si>
    <t xml:space="preserve">Restrict Units </t>
  </si>
  <si>
    <t>Sum of Selling Price</t>
  </si>
  <si>
    <t>(blank)</t>
  </si>
  <si>
    <t>#REF!</t>
  </si>
  <si>
    <t>Count of Category</t>
  </si>
  <si>
    <t xml:space="preserve"> Lossno</t>
  </si>
  <si>
    <t>Sum of Profit</t>
  </si>
  <si>
    <t>+</t>
  </si>
  <si>
    <t>Sum of Units Sold</t>
  </si>
  <si>
    <t>Produce is highest revenue in the Data</t>
  </si>
  <si>
    <t>Count of Units Sold</t>
  </si>
  <si>
    <t>Statues</t>
  </si>
  <si>
    <t>Cancelled</t>
  </si>
  <si>
    <t>Completed</t>
  </si>
  <si>
    <t>Pending</t>
  </si>
  <si>
    <t>Sum of Total Cost</t>
  </si>
  <si>
    <t>Highest Sum of Sales: 2537000</t>
  </si>
  <si>
    <t>In Last Year Feb month is Highest selling month  Saling Amount=340000</t>
  </si>
  <si>
    <t>Sum of Average Revenue per Order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</si>
</sst>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E+00"/>
  </numFmts>
  <fonts count="5" x14ac:knownFonts="1">
    <font>
      <sz val="11"/>
      <color theme="1"/>
      <name val="Calibri"/>
      <family val="2"/>
      <scheme val="minor"/>
    </font>
    <font>
      <b/>
      <sz val="11"/>
      <color theme="1"/>
      <name val="Calibri"/>
      <family val="2"/>
      <scheme val="minor"/>
    </font>
    <font>
      <sz val="11"/>
      <color theme="0"/>
      <name val="Calibri"/>
      <family val="2"/>
      <scheme val="minor"/>
    </font>
    <font>
      <sz val="11"/>
      <color theme="1"/>
      <name val="Cambria"/>
      <family val="1"/>
    </font>
    <font>
      <b/>
      <sz val="11"/>
      <color theme="0"/>
      <name val="Calibri"/>
      <family val="2"/>
      <scheme val="minor"/>
    </font>
  </fonts>
  <fills count="5">
    <fill>
      <patternFill patternType="none"/>
    </fill>
    <fill>
      <patternFill patternType="gray125"/>
    </fill>
    <fill>
      <patternFill patternType="solid">
        <fgColor theme="8" tint="-0.499984740745262"/>
        <bgColor indexed="64"/>
      </patternFill>
    </fill>
    <fill>
      <patternFill patternType="solid">
        <fgColor rgb="FF92D050"/>
        <bgColor indexed="64"/>
      </patternFill>
    </fill>
    <fill>
      <patternFill patternType="solid">
        <fgColor theme="8" tint="-0.249977111117893"/>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2">
    <xf numFmtId="0" fontId="0" fillId="0" borderId="0" xfId="0"/>
    <xf numFmtId="0" fontId="0" fillId="0" borderId="0" xfId="0"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1" xfId="0"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xf numFmtId="0" fontId="3" fillId="0" borderId="1" xfId="0" applyFont="1" applyBorder="1" applyAlignment="1">
      <alignment horizontal="center"/>
    </xf>
    <xf numFmtId="0" fontId="0" fillId="0" borderId="0" xfId="0" applyBorder="1" applyAlignment="1">
      <alignment horizontal="center"/>
    </xf>
    <xf numFmtId="0" fontId="0" fillId="3" borderId="0" xfId="0" applyFont="1" applyFill="1"/>
    <xf numFmtId="0" fontId="2" fillId="4" borderId="1" xfId="0" applyFont="1" applyFill="1" applyBorder="1" applyAlignment="1">
      <alignment horizontal="center"/>
    </xf>
    <xf numFmtId="0" fontId="4" fillId="4" borderId="1" xfId="0" applyFont="1" applyFill="1" applyBorder="1" applyAlignment="1">
      <alignment vertical="center"/>
    </xf>
    <xf numFmtId="164" fontId="0" fillId="3" borderId="0" xfId="0" applyNumberFormat="1" applyFont="1" applyFill="1"/>
    <xf numFmtId="0" fontId="1" fillId="0" borderId="0" xfId="0" applyFont="1"/>
    <xf numFmtId="0" fontId="4" fillId="4" borderId="0" xfId="0" applyFont="1" applyFill="1"/>
    <xf numFmtId="14" fontId="0" fillId="0" borderId="0" xfId="0" applyNumberFormat="1" applyAlignment="1">
      <alignment horizontal="left"/>
    </xf>
  </cellXfs>
  <cellStyles count="1">
    <cellStyle name="Normal" xfId="0" builtinId="0"/>
  </cellStyles>
  <dxfs count="4">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6.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2.xlsx]Line Chart!PivotTable2</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 Chart'!$A$4:$A$16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'Line Chart'!$B$4:$B$16</c:f>
              <c:numCache>
                <c:formatCode>General</c:formatCode>
                <c:ptCount val="12"/>
                <c:pt idx="0">
                  <c:v>2364000</c:v>
                </c:pt>
                <c:pt idx="1">
                  <c:v>938000</c:v>
                </c:pt>
                <c:pt idx="2">
                  <c:v>2473000</c:v>
                </c:pt>
                <c:pt idx="3">
                  <c:v>2226000</c:v>
                </c:pt>
                <c:pt idx="4">
                  <c:v>1740000</c:v>
                </c:pt>
                <c:pt idx="5">
                  <c:v>3217000</c:v>
                </c:pt>
                <c:pt idx="6">
                  <c:v>1422000</c:v>
                </c:pt>
                <c:pt idx="7">
                  <c:v>2705000</c:v>
                </c:pt>
                <c:pt idx="8">
                  <c:v>2048000</c:v>
                </c:pt>
                <c:pt idx="9">
                  <c:v>2616000</c:v>
                </c:pt>
                <c:pt idx="10">
                  <c:v>1012000</c:v>
                </c:pt>
                <c:pt idx="11">
                  <c:v>1683000</c:v>
                </c:pt>
              </c:numCache>
            </c:numRef>
          </c:val>
          <c:smooth val="0"/>
        </c:ser>
        <c:dLbls>
          <c:dLblPos val="t"/>
          <c:showLegendKey val="0"/>
          <c:showVal val="1"/>
          <c:showCatName val="0"/>
          <c:showSerName val="0"/>
          <c:showPercent val="0"/>
          <c:showBubbleSize val="0"/>
        </c:dLbls>
        <c:marker val="1"/>
        <c:smooth val="0"/>
        <c:axId val="1285029760"/>
        <c:axId val="1182483072"/>
      </c:lineChart>
      <c:catAx>
        <c:axId val="128502976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2483072"/>
        <c:crosses val="autoZero"/>
        <c:auto val="1"/>
        <c:lblAlgn val="ctr"/>
        <c:lblOffset val="100"/>
        <c:noMultiLvlLbl val="0"/>
      </c:catAx>
      <c:valAx>
        <c:axId val="11824830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50297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2.xlsx]Pie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wise  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cat>
            <c:strRef>
              <c:f>'Pie Chart'!$A$4:$A$17</c:f>
              <c:strCache>
                <c:ptCount val="13"/>
                <c:pt idx="0">
                  <c:v>(dal) Pulses </c:v>
                </c:pt>
                <c:pt idx="1">
                  <c:v>Bekery  </c:v>
                </c:pt>
                <c:pt idx="2">
                  <c:v>Beverages  </c:v>
                </c:pt>
                <c:pt idx="3">
                  <c:v>Dairy  </c:v>
                </c:pt>
                <c:pt idx="4">
                  <c:v>flour Grains </c:v>
                </c:pt>
                <c:pt idx="5">
                  <c:v>Grains  </c:v>
                </c:pt>
                <c:pt idx="6">
                  <c:v>HouseUse  </c:v>
                </c:pt>
                <c:pt idx="7">
                  <c:v>oil Edible Oils</c:v>
                </c:pt>
                <c:pt idx="8">
                  <c:v>Personal Care </c:v>
                </c:pt>
                <c:pt idx="9">
                  <c:v>Produce  </c:v>
                </c:pt>
                <c:pt idx="10">
                  <c:v>Snacks  </c:v>
                </c:pt>
                <c:pt idx="11">
                  <c:v>Staples  </c:v>
                </c:pt>
                <c:pt idx="12">
                  <c:v>#REF!</c:v>
                </c:pt>
              </c:strCache>
            </c:strRef>
          </c:cat>
          <c:val>
            <c:numRef>
              <c:f>'Pie Chart'!$B$4:$B$17</c:f>
              <c:numCache>
                <c:formatCode>General</c:formatCode>
                <c:ptCount val="13"/>
                <c:pt idx="0">
                  <c:v>9</c:v>
                </c:pt>
                <c:pt idx="1">
                  <c:v>9</c:v>
                </c:pt>
                <c:pt idx="2">
                  <c:v>17</c:v>
                </c:pt>
                <c:pt idx="3">
                  <c:v>32</c:v>
                </c:pt>
                <c:pt idx="4">
                  <c:v>9</c:v>
                </c:pt>
                <c:pt idx="5">
                  <c:v>12</c:v>
                </c:pt>
                <c:pt idx="6">
                  <c:v>6</c:v>
                </c:pt>
                <c:pt idx="7">
                  <c:v>9</c:v>
                </c:pt>
                <c:pt idx="8">
                  <c:v>26</c:v>
                </c:pt>
                <c:pt idx="9">
                  <c:v>37</c:v>
                </c:pt>
                <c:pt idx="10">
                  <c:v>15</c:v>
                </c:pt>
                <c:pt idx="11">
                  <c:v>18</c:v>
                </c:pt>
                <c:pt idx="12">
                  <c:v>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2.xlsx]BarChart!PivotTable1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Region-wise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BarChart!$B$3</c:f>
              <c:strCache>
                <c:ptCount val="1"/>
                <c:pt idx="0">
                  <c:v>Total</c:v>
                </c:pt>
              </c:strCache>
            </c:strRef>
          </c:tx>
          <c:spPr>
            <a:solidFill>
              <a:schemeClr val="accent1"/>
            </a:solidFill>
            <a:ln>
              <a:noFill/>
            </a:ln>
            <a:effectLst/>
          </c:spPr>
          <c:invertIfNegative val="0"/>
          <c:cat>
            <c:strRef>
              <c:f>BarChart!$A$4:$A$9</c:f>
              <c:strCache>
                <c:ptCount val="5"/>
                <c:pt idx="0">
                  <c:v>East</c:v>
                </c:pt>
                <c:pt idx="1">
                  <c:v>North</c:v>
                </c:pt>
                <c:pt idx="2">
                  <c:v>South</c:v>
                </c:pt>
                <c:pt idx="3">
                  <c:v>West</c:v>
                </c:pt>
                <c:pt idx="4">
                  <c:v>(blank)</c:v>
                </c:pt>
              </c:strCache>
            </c:strRef>
          </c:cat>
          <c:val>
            <c:numRef>
              <c:f>BarChart!$B$4:$B$9</c:f>
              <c:numCache>
                <c:formatCode>General</c:formatCode>
                <c:ptCount val="5"/>
                <c:pt idx="0">
                  <c:v>1295000</c:v>
                </c:pt>
                <c:pt idx="1">
                  <c:v>1333000</c:v>
                </c:pt>
                <c:pt idx="2">
                  <c:v>1050000</c:v>
                </c:pt>
                <c:pt idx="3">
                  <c:v>1075000</c:v>
                </c:pt>
                <c:pt idx="4">
                  <c:v>30000</c:v>
                </c:pt>
              </c:numCache>
            </c:numRef>
          </c:val>
        </c:ser>
        <c:dLbls>
          <c:showLegendKey val="0"/>
          <c:showVal val="0"/>
          <c:showCatName val="0"/>
          <c:showSerName val="0"/>
          <c:showPercent val="0"/>
          <c:showBubbleSize val="0"/>
        </c:dLbls>
        <c:gapWidth val="182"/>
        <c:axId val="1387463072"/>
        <c:axId val="1387471232"/>
      </c:barChart>
      <c:catAx>
        <c:axId val="13874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71232"/>
        <c:crosses val="autoZero"/>
        <c:auto val="1"/>
        <c:lblAlgn val="ctr"/>
        <c:lblOffset val="100"/>
        <c:noMultiLvlLbl val="0"/>
      </c:catAx>
      <c:valAx>
        <c:axId val="1387471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2.xlsx]BarChart!PivotTable1</c:name>
    <c:fmtId val="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Region-wise Sales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26260170603674543"/>
          <c:y val="0.27556917885264337"/>
          <c:w val="0.54136646981627301"/>
          <c:h val="0.61872478440194978"/>
        </c:manualLayout>
      </c:layout>
      <c:barChart>
        <c:barDir val="bar"/>
        <c:grouping val="clustered"/>
        <c:varyColors val="0"/>
        <c:ser>
          <c:idx val="0"/>
          <c:order val="0"/>
          <c:tx>
            <c:strRef>
              <c:f>BarChart!$B$3</c:f>
              <c:strCache>
                <c:ptCount val="1"/>
                <c:pt idx="0">
                  <c:v>Total</c:v>
                </c:pt>
              </c:strCache>
            </c:strRef>
          </c:tx>
          <c:spPr>
            <a:solidFill>
              <a:schemeClr val="accent1"/>
            </a:solidFill>
            <a:ln>
              <a:noFill/>
            </a:ln>
            <a:effectLst/>
          </c:spPr>
          <c:invertIfNegative val="0"/>
          <c:cat>
            <c:strRef>
              <c:f>BarChart!$A$4:$A$9</c:f>
              <c:strCache>
                <c:ptCount val="5"/>
                <c:pt idx="0">
                  <c:v>East</c:v>
                </c:pt>
                <c:pt idx="1">
                  <c:v>North</c:v>
                </c:pt>
                <c:pt idx="2">
                  <c:v>South</c:v>
                </c:pt>
                <c:pt idx="3">
                  <c:v>West</c:v>
                </c:pt>
                <c:pt idx="4">
                  <c:v>(blank)</c:v>
                </c:pt>
              </c:strCache>
            </c:strRef>
          </c:cat>
          <c:val>
            <c:numRef>
              <c:f>BarChart!$B$4:$B$9</c:f>
              <c:numCache>
                <c:formatCode>General</c:formatCode>
                <c:ptCount val="5"/>
                <c:pt idx="0">
                  <c:v>1295000</c:v>
                </c:pt>
                <c:pt idx="1">
                  <c:v>1333000</c:v>
                </c:pt>
                <c:pt idx="2">
                  <c:v>1050000</c:v>
                </c:pt>
                <c:pt idx="3">
                  <c:v>1075000</c:v>
                </c:pt>
                <c:pt idx="4">
                  <c:v>30000</c:v>
                </c:pt>
              </c:numCache>
            </c:numRef>
          </c:val>
        </c:ser>
        <c:dLbls>
          <c:showLegendKey val="0"/>
          <c:showVal val="0"/>
          <c:showCatName val="0"/>
          <c:showSerName val="0"/>
          <c:showPercent val="0"/>
          <c:showBubbleSize val="0"/>
        </c:dLbls>
        <c:gapWidth val="182"/>
        <c:axId val="1387460352"/>
        <c:axId val="1387469600"/>
      </c:barChart>
      <c:catAx>
        <c:axId val="138746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69600"/>
        <c:crosses val="autoZero"/>
        <c:auto val="1"/>
        <c:lblAlgn val="ctr"/>
        <c:lblOffset val="100"/>
        <c:noMultiLvlLbl val="0"/>
      </c:catAx>
      <c:valAx>
        <c:axId val="138746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60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2.xlsx]Pie Chart!PivotTable1</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Categorywise Count</a:t>
            </a:r>
          </a:p>
          <a:p>
            <a:pPr algn="ctr" rtl="0">
              <a:defRPr lang="en-US" b="1">
                <a:solidFill>
                  <a:sysClr val="windowText" lastClr="000000">
                    <a:lumMod val="65000"/>
                    <a:lumOff val="35000"/>
                  </a:sysClr>
                </a:solidFill>
                <a:latin typeface="Times New Roman" panose="02020603050405020304" pitchFamily="18" charset="0"/>
                <a:cs typeface="Times New Roman" panose="02020603050405020304" pitchFamily="18" charset="0"/>
              </a:defRPr>
            </a:pPr>
            <a:endPara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Chart'!$A$4:$A$17</c:f>
              <c:strCache>
                <c:ptCount val="13"/>
                <c:pt idx="0">
                  <c:v>(dal) Pulses </c:v>
                </c:pt>
                <c:pt idx="1">
                  <c:v>Bekery  </c:v>
                </c:pt>
                <c:pt idx="2">
                  <c:v>Beverages  </c:v>
                </c:pt>
                <c:pt idx="3">
                  <c:v>Dairy  </c:v>
                </c:pt>
                <c:pt idx="4">
                  <c:v>flour Grains </c:v>
                </c:pt>
                <c:pt idx="5">
                  <c:v>Grains  </c:v>
                </c:pt>
                <c:pt idx="6">
                  <c:v>HouseUse  </c:v>
                </c:pt>
                <c:pt idx="7">
                  <c:v>oil Edible Oils</c:v>
                </c:pt>
                <c:pt idx="8">
                  <c:v>Personal Care </c:v>
                </c:pt>
                <c:pt idx="9">
                  <c:v>Produce  </c:v>
                </c:pt>
                <c:pt idx="10">
                  <c:v>Snacks  </c:v>
                </c:pt>
                <c:pt idx="11">
                  <c:v>Staples  </c:v>
                </c:pt>
                <c:pt idx="12">
                  <c:v>#REF!</c:v>
                </c:pt>
              </c:strCache>
            </c:strRef>
          </c:cat>
          <c:val>
            <c:numRef>
              <c:f>'Pie Chart'!$B$4:$B$17</c:f>
              <c:numCache>
                <c:formatCode>General</c:formatCode>
                <c:ptCount val="13"/>
                <c:pt idx="0">
                  <c:v>9</c:v>
                </c:pt>
                <c:pt idx="1">
                  <c:v>9</c:v>
                </c:pt>
                <c:pt idx="2">
                  <c:v>17</c:v>
                </c:pt>
                <c:pt idx="3">
                  <c:v>32</c:v>
                </c:pt>
                <c:pt idx="4">
                  <c:v>9</c:v>
                </c:pt>
                <c:pt idx="5">
                  <c:v>12</c:v>
                </c:pt>
                <c:pt idx="6">
                  <c:v>6</c:v>
                </c:pt>
                <c:pt idx="7">
                  <c:v>9</c:v>
                </c:pt>
                <c:pt idx="8">
                  <c:v>26</c:v>
                </c:pt>
                <c:pt idx="9">
                  <c:v>37</c:v>
                </c:pt>
                <c:pt idx="10">
                  <c:v>15</c:v>
                </c:pt>
                <c:pt idx="11">
                  <c:v>18</c:v>
                </c:pt>
                <c:pt idx="12">
                  <c:v>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2.xlsx]Line Chart!PivotTable2</c:name>
    <c:fmtId val="18"/>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'Line Chart'!$A$4:$A$16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'Line Chart'!$B$4:$B$16</c:f>
              <c:numCache>
                <c:formatCode>General</c:formatCode>
                <c:ptCount val="12"/>
                <c:pt idx="0">
                  <c:v>2364000</c:v>
                </c:pt>
                <c:pt idx="1">
                  <c:v>938000</c:v>
                </c:pt>
                <c:pt idx="2">
                  <c:v>2473000</c:v>
                </c:pt>
                <c:pt idx="3">
                  <c:v>2226000</c:v>
                </c:pt>
                <c:pt idx="4">
                  <c:v>1740000</c:v>
                </c:pt>
                <c:pt idx="5">
                  <c:v>3217000</c:v>
                </c:pt>
                <c:pt idx="6">
                  <c:v>1422000</c:v>
                </c:pt>
                <c:pt idx="7">
                  <c:v>2705000</c:v>
                </c:pt>
                <c:pt idx="8">
                  <c:v>2048000</c:v>
                </c:pt>
                <c:pt idx="9">
                  <c:v>2616000</c:v>
                </c:pt>
                <c:pt idx="10">
                  <c:v>1012000</c:v>
                </c:pt>
                <c:pt idx="11">
                  <c:v>1683000</c:v>
                </c:pt>
              </c:numCache>
            </c:numRef>
          </c:val>
          <c:smooth val="0"/>
        </c:ser>
        <c:dLbls>
          <c:dLblPos val="t"/>
          <c:showLegendKey val="0"/>
          <c:showVal val="1"/>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387469056"/>
        <c:axId val="1387470144"/>
      </c:lineChart>
      <c:catAx>
        <c:axId val="1387469056"/>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470144"/>
        <c:crosses val="autoZero"/>
        <c:auto val="1"/>
        <c:lblAlgn val="ctr"/>
        <c:lblOffset val="100"/>
        <c:noMultiLvlLbl val="0"/>
      </c:catAx>
      <c:valAx>
        <c:axId val="1387470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4690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2.xlsx]Bar!PivotTable3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5906497359766789"/>
          <c:y val="0.15699003214485832"/>
          <c:w val="0.67953405355047347"/>
          <c:h val="0.63717757263100727"/>
        </c:manualLayout>
      </c:layout>
      <c:barChart>
        <c:barDir val="col"/>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Bar!$B$4:$B$16</c:f>
              <c:numCache>
                <c:formatCode>General</c:formatCode>
                <c:ptCount val="12"/>
                <c:pt idx="0">
                  <c:v>805000</c:v>
                </c:pt>
                <c:pt idx="1">
                  <c:v>338000</c:v>
                </c:pt>
                <c:pt idx="2">
                  <c:v>818500</c:v>
                </c:pt>
                <c:pt idx="3">
                  <c:v>773000</c:v>
                </c:pt>
                <c:pt idx="4">
                  <c:v>591000</c:v>
                </c:pt>
                <c:pt idx="5">
                  <c:v>1079500</c:v>
                </c:pt>
                <c:pt idx="6">
                  <c:v>491000</c:v>
                </c:pt>
                <c:pt idx="7">
                  <c:v>915500</c:v>
                </c:pt>
                <c:pt idx="8">
                  <c:v>696000</c:v>
                </c:pt>
                <c:pt idx="9">
                  <c:v>880000</c:v>
                </c:pt>
                <c:pt idx="10">
                  <c:v>353000</c:v>
                </c:pt>
                <c:pt idx="11">
                  <c:v>563500</c:v>
                </c:pt>
              </c:numCache>
            </c:numRef>
          </c:val>
        </c:ser>
        <c:dLbls>
          <c:showLegendKey val="0"/>
          <c:showVal val="0"/>
          <c:showCatName val="0"/>
          <c:showSerName val="0"/>
          <c:showPercent val="0"/>
          <c:showBubbleSize val="0"/>
        </c:dLbls>
        <c:gapWidth val="219"/>
        <c:overlap val="-27"/>
        <c:axId val="1387464704"/>
        <c:axId val="1387467424"/>
      </c:barChart>
      <c:catAx>
        <c:axId val="138746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67424"/>
        <c:crosses val="autoZero"/>
        <c:auto val="1"/>
        <c:lblAlgn val="ctr"/>
        <c:lblOffset val="100"/>
        <c:noMultiLvlLbl val="0"/>
      </c:catAx>
      <c:valAx>
        <c:axId val="1387467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464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2.xlsx]10!PivotTable2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Month</a:t>
            </a:r>
            <a:r>
              <a:rPr lang="en-IN" b="1" baseline="0">
                <a:latin typeface="Times New Roman" panose="02020603050405020304" pitchFamily="18" charset="0"/>
                <a:cs typeface="Times New Roman" panose="02020603050405020304" pitchFamily="18" charset="0"/>
              </a:rPr>
              <a:t>swise Sales          </a:t>
            </a:r>
          </a:p>
          <a:p>
            <a:pPr>
              <a:defRPr/>
            </a:pPr>
            <a:r>
              <a:rPr lang="en-IN" b="1" baseline="0">
                <a:latin typeface="Times New Roman" panose="02020603050405020304" pitchFamily="18" charset="0"/>
                <a:cs typeface="Times New Roman" panose="02020603050405020304" pitchFamily="18" charset="0"/>
              </a:rPr>
              <a:t>  </a:t>
            </a:r>
            <a:endParaRPr lang="en-IN" b="1">
              <a:latin typeface="Times New Roman" panose="02020603050405020304" pitchFamily="18" charset="0"/>
              <a:cs typeface="Times New Roman" panose="02020603050405020304" pitchFamily="18" charset="0"/>
            </a:endParaRPr>
          </a:p>
        </c:rich>
      </c:tx>
      <c:layout>
        <c:manualLayout>
          <c:xMode val="edge"/>
          <c:yMode val="edge"/>
          <c:x val="0.34385143033591392"/>
          <c:y val="8.76792574841188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'10'!$A$4:$A$16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'10'!$B$4:$B$16</c:f>
              <c:numCache>
                <c:formatCode>General</c:formatCode>
                <c:ptCount val="12"/>
                <c:pt idx="0">
                  <c:v>428000</c:v>
                </c:pt>
                <c:pt idx="1">
                  <c:v>233000</c:v>
                </c:pt>
                <c:pt idx="2">
                  <c:v>379000</c:v>
                </c:pt>
                <c:pt idx="3">
                  <c:v>521000</c:v>
                </c:pt>
                <c:pt idx="4">
                  <c:v>390000</c:v>
                </c:pt>
                <c:pt idx="5">
                  <c:v>563000</c:v>
                </c:pt>
                <c:pt idx="6">
                  <c:v>294000</c:v>
                </c:pt>
                <c:pt idx="7">
                  <c:v>551000</c:v>
                </c:pt>
                <c:pt idx="8">
                  <c:v>360000</c:v>
                </c:pt>
                <c:pt idx="9">
                  <c:v>497000</c:v>
                </c:pt>
                <c:pt idx="10">
                  <c:v>256000</c:v>
                </c:pt>
                <c:pt idx="11">
                  <c:v>311000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2.xlsx]8!PivotTable11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'8'!$B$3</c:f>
              <c:strCache>
                <c:ptCount val="1"/>
                <c:pt idx="0">
                  <c:v>Sum of Selling Price</c:v>
                </c:pt>
              </c:strCache>
            </c:strRef>
          </c:tx>
          <c:spPr>
            <a:solidFill>
              <a:schemeClr val="accent1"/>
            </a:solidFill>
            <a:ln>
              <a:noFill/>
            </a:ln>
            <a:effectLst/>
          </c:spPr>
          <c:invertIfNegative val="0"/>
          <c:cat>
            <c:strRef>
              <c:f>'8'!$A$4:$A$7</c:f>
              <c:strCache>
                <c:ptCount val="3"/>
                <c:pt idx="0">
                  <c:v>Cancelled</c:v>
                </c:pt>
                <c:pt idx="1">
                  <c:v>Completed</c:v>
                </c:pt>
                <c:pt idx="2">
                  <c:v>Pending</c:v>
                </c:pt>
              </c:strCache>
            </c:strRef>
          </c:cat>
          <c:val>
            <c:numRef>
              <c:f>'8'!$B$4:$B$7</c:f>
              <c:numCache>
                <c:formatCode>General</c:formatCode>
                <c:ptCount val="3"/>
                <c:pt idx="0">
                  <c:v>1039000</c:v>
                </c:pt>
                <c:pt idx="1">
                  <c:v>309000</c:v>
                </c:pt>
                <c:pt idx="2">
                  <c:v>3435000</c:v>
                </c:pt>
              </c:numCache>
            </c:numRef>
          </c:val>
        </c:ser>
        <c:ser>
          <c:idx val="1"/>
          <c:order val="1"/>
          <c:tx>
            <c:strRef>
              <c:f>'8'!$C$3</c:f>
              <c:strCache>
                <c:ptCount val="1"/>
                <c:pt idx="0">
                  <c:v>Sum of Units Sold</c:v>
                </c:pt>
              </c:strCache>
            </c:strRef>
          </c:tx>
          <c:spPr>
            <a:solidFill>
              <a:schemeClr val="accent2"/>
            </a:solidFill>
            <a:ln>
              <a:noFill/>
            </a:ln>
            <a:effectLst/>
          </c:spPr>
          <c:invertIfNegative val="0"/>
          <c:cat>
            <c:strRef>
              <c:f>'8'!$A$4:$A$7</c:f>
              <c:strCache>
                <c:ptCount val="3"/>
                <c:pt idx="0">
                  <c:v>Cancelled</c:v>
                </c:pt>
                <c:pt idx="1">
                  <c:v>Completed</c:v>
                </c:pt>
                <c:pt idx="2">
                  <c:v>Pending</c:v>
                </c:pt>
              </c:strCache>
            </c:strRef>
          </c:cat>
          <c:val>
            <c:numRef>
              <c:f>'8'!$C$4:$C$7</c:f>
              <c:numCache>
                <c:formatCode>General</c:formatCode>
                <c:ptCount val="3"/>
                <c:pt idx="0">
                  <c:v>74</c:v>
                </c:pt>
                <c:pt idx="1">
                  <c:v>150</c:v>
                </c:pt>
                <c:pt idx="2">
                  <c:v>788</c:v>
                </c:pt>
              </c:numCache>
            </c:numRef>
          </c:val>
        </c:ser>
        <c:ser>
          <c:idx val="2"/>
          <c:order val="2"/>
          <c:tx>
            <c:strRef>
              <c:f>'8'!$D$3</c:f>
              <c:strCache>
                <c:ptCount val="1"/>
                <c:pt idx="0">
                  <c:v>Sum of Average Revenue per Order</c:v>
                </c:pt>
              </c:strCache>
            </c:strRef>
          </c:tx>
          <c:spPr>
            <a:solidFill>
              <a:schemeClr val="accent3"/>
            </a:solidFill>
            <a:ln>
              <a:noFill/>
            </a:ln>
            <a:effectLst/>
          </c:spPr>
          <c:invertIfNegative val="0"/>
          <c:cat>
            <c:strRef>
              <c:f>'8'!$A$4:$A$7</c:f>
              <c:strCache>
                <c:ptCount val="3"/>
                <c:pt idx="0">
                  <c:v>Cancelled</c:v>
                </c:pt>
                <c:pt idx="1">
                  <c:v>Completed</c:v>
                </c:pt>
                <c:pt idx="2">
                  <c:v>Pending</c:v>
                </c:pt>
              </c:strCache>
            </c:strRef>
          </c:cat>
          <c:val>
            <c:numRef>
              <c:f>'8'!$D$4:$D$7</c:f>
              <c:numCache>
                <c:formatCode>General</c:formatCode>
                <c:ptCount val="3"/>
                <c:pt idx="0">
                  <c:v>14040.54054054054</c:v>
                </c:pt>
                <c:pt idx="1">
                  <c:v>2060</c:v>
                </c:pt>
                <c:pt idx="2">
                  <c:v>4359.1370558375638</c:v>
                </c:pt>
              </c:numCache>
            </c:numRef>
          </c:val>
        </c:ser>
        <c:dLbls>
          <c:showLegendKey val="0"/>
          <c:showVal val="0"/>
          <c:showCatName val="0"/>
          <c:showSerName val="0"/>
          <c:showPercent val="0"/>
          <c:showBubbleSize val="0"/>
        </c:dLbls>
        <c:gapWidth val="219"/>
        <c:overlap val="-27"/>
        <c:axId val="1415235824"/>
        <c:axId val="1415244528"/>
      </c:barChart>
      <c:catAx>
        <c:axId val="14152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44528"/>
        <c:crosses val="autoZero"/>
        <c:auto val="1"/>
        <c:lblAlgn val="ctr"/>
        <c:lblOffset val="100"/>
        <c:noMultiLvlLbl val="0"/>
      </c:catAx>
      <c:valAx>
        <c:axId val="141524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3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2.xlsx]Line Chart!PivotTable2</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'Line Chart'!$B$3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'Line Chart'!$A$4:$A$16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'Line Chart'!$B$4:$B$16</c:f>
              <c:numCache>
                <c:formatCode>General</c:formatCode>
                <c:ptCount val="12"/>
                <c:pt idx="0">
                  <c:v>2364000</c:v>
                </c:pt>
                <c:pt idx="1">
                  <c:v>938000</c:v>
                </c:pt>
                <c:pt idx="2">
                  <c:v>2473000</c:v>
                </c:pt>
                <c:pt idx="3">
                  <c:v>2226000</c:v>
                </c:pt>
                <c:pt idx="4">
                  <c:v>1740000</c:v>
                </c:pt>
                <c:pt idx="5">
                  <c:v>3217000</c:v>
                </c:pt>
                <c:pt idx="6">
                  <c:v>1422000</c:v>
                </c:pt>
                <c:pt idx="7">
                  <c:v>2705000</c:v>
                </c:pt>
                <c:pt idx="8">
                  <c:v>2048000</c:v>
                </c:pt>
                <c:pt idx="9">
                  <c:v>2616000</c:v>
                </c:pt>
                <c:pt idx="10">
                  <c:v>1012000</c:v>
                </c:pt>
                <c:pt idx="11">
                  <c:v>1683000</c:v>
                </c:pt>
              </c:numCache>
            </c:numRef>
          </c:val>
          <c:smooth val="0"/>
        </c:ser>
        <c:dLbls>
          <c:dLblPos val="t"/>
          <c:showLegendKey val="0"/>
          <c:showVal val="1"/>
          <c:showCatName val="0"/>
          <c:showSerName val="0"/>
          <c:showPercent val="0"/>
          <c:showBubbleSize val="0"/>
        </c:dLbls>
        <c:marker val="1"/>
        <c:smooth val="0"/>
        <c:axId val="1387459808"/>
        <c:axId val="1415236368"/>
      </c:lineChart>
      <c:catAx>
        <c:axId val="1387459808"/>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5236368"/>
        <c:crosses val="autoZero"/>
        <c:auto val="1"/>
        <c:lblAlgn val="ctr"/>
        <c:lblOffset val="100"/>
        <c:noMultiLvlLbl val="0"/>
      </c:catAx>
      <c:valAx>
        <c:axId val="14152363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74598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2.xlsx]Pie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wise  Count</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cat>
            <c:strRef>
              <c:f>'Pie Chart'!$A$4:$A$17</c:f>
              <c:strCache>
                <c:ptCount val="13"/>
                <c:pt idx="0">
                  <c:v>(dal) Pulses </c:v>
                </c:pt>
                <c:pt idx="1">
                  <c:v>Bekery  </c:v>
                </c:pt>
                <c:pt idx="2">
                  <c:v>Beverages  </c:v>
                </c:pt>
                <c:pt idx="3">
                  <c:v>Dairy  </c:v>
                </c:pt>
                <c:pt idx="4">
                  <c:v>flour Grains </c:v>
                </c:pt>
                <c:pt idx="5">
                  <c:v>Grains  </c:v>
                </c:pt>
                <c:pt idx="6">
                  <c:v>HouseUse  </c:v>
                </c:pt>
                <c:pt idx="7">
                  <c:v>oil Edible Oils</c:v>
                </c:pt>
                <c:pt idx="8">
                  <c:v>Personal Care </c:v>
                </c:pt>
                <c:pt idx="9">
                  <c:v>Produce  </c:v>
                </c:pt>
                <c:pt idx="10">
                  <c:v>Snacks  </c:v>
                </c:pt>
                <c:pt idx="11">
                  <c:v>Staples  </c:v>
                </c:pt>
                <c:pt idx="12">
                  <c:v>#REF!</c:v>
                </c:pt>
              </c:strCache>
            </c:strRef>
          </c:cat>
          <c:val>
            <c:numRef>
              <c:f>'Pie Chart'!$B$4:$B$17</c:f>
              <c:numCache>
                <c:formatCode>General</c:formatCode>
                <c:ptCount val="13"/>
                <c:pt idx="0">
                  <c:v>9</c:v>
                </c:pt>
                <c:pt idx="1">
                  <c:v>9</c:v>
                </c:pt>
                <c:pt idx="2">
                  <c:v>17</c:v>
                </c:pt>
                <c:pt idx="3">
                  <c:v>32</c:v>
                </c:pt>
                <c:pt idx="4">
                  <c:v>9</c:v>
                </c:pt>
                <c:pt idx="5">
                  <c:v>12</c:v>
                </c:pt>
                <c:pt idx="6">
                  <c:v>6</c:v>
                </c:pt>
                <c:pt idx="7">
                  <c:v>9</c:v>
                </c:pt>
                <c:pt idx="8">
                  <c:v>26</c:v>
                </c:pt>
                <c:pt idx="9">
                  <c:v>37</c:v>
                </c:pt>
                <c:pt idx="10">
                  <c:v>15</c:v>
                </c:pt>
                <c:pt idx="11">
                  <c:v>18</c:v>
                </c:pt>
                <c:pt idx="12">
                  <c:v>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2.xlsx]10!PivotTable2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Month</a:t>
            </a:r>
            <a:r>
              <a:rPr lang="en-IN" b="1" baseline="0">
                <a:latin typeface="Times New Roman" panose="02020603050405020304" pitchFamily="18" charset="0"/>
                <a:cs typeface="Times New Roman" panose="02020603050405020304" pitchFamily="18" charset="0"/>
              </a:rPr>
              <a:t>swise  </a:t>
            </a:r>
          </a:p>
          <a:p>
            <a:pPr>
              <a:defRPr/>
            </a:pPr>
            <a:r>
              <a:rPr lang="en-IN" b="1" baseline="0">
                <a:latin typeface="Times New Roman" panose="02020603050405020304" pitchFamily="18" charset="0"/>
                <a:cs typeface="Times New Roman" panose="02020603050405020304" pitchFamily="18" charset="0"/>
              </a:rPr>
              <a:t>salling Price</a:t>
            </a:r>
            <a:endParaRPr lang="en-IN"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'10'!$A$4:$A$16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'10'!$B$4:$B$16</c:f>
              <c:numCache>
                <c:formatCode>General</c:formatCode>
                <c:ptCount val="12"/>
                <c:pt idx="0">
                  <c:v>428000</c:v>
                </c:pt>
                <c:pt idx="1">
                  <c:v>233000</c:v>
                </c:pt>
                <c:pt idx="2">
                  <c:v>379000</c:v>
                </c:pt>
                <c:pt idx="3">
                  <c:v>521000</c:v>
                </c:pt>
                <c:pt idx="4">
                  <c:v>390000</c:v>
                </c:pt>
                <c:pt idx="5">
                  <c:v>563000</c:v>
                </c:pt>
                <c:pt idx="6">
                  <c:v>294000</c:v>
                </c:pt>
                <c:pt idx="7">
                  <c:v>551000</c:v>
                </c:pt>
                <c:pt idx="8">
                  <c:v>360000</c:v>
                </c:pt>
                <c:pt idx="9">
                  <c:v>497000</c:v>
                </c:pt>
                <c:pt idx="10">
                  <c:v>256000</c:v>
                </c:pt>
                <c:pt idx="11">
                  <c:v>311000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2.xlsx]BarChart!PivotTable1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Region-wise Sales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BarChart!$B$3</c:f>
              <c:strCache>
                <c:ptCount val="1"/>
                <c:pt idx="0">
                  <c:v>Total</c:v>
                </c:pt>
              </c:strCache>
            </c:strRef>
          </c:tx>
          <c:spPr>
            <a:solidFill>
              <a:schemeClr val="accent1"/>
            </a:solidFill>
            <a:ln>
              <a:noFill/>
            </a:ln>
            <a:effectLst/>
          </c:spPr>
          <c:invertIfNegative val="0"/>
          <c:cat>
            <c:strRef>
              <c:f>BarChart!$A$4:$A$9</c:f>
              <c:strCache>
                <c:ptCount val="5"/>
                <c:pt idx="0">
                  <c:v>East</c:v>
                </c:pt>
                <c:pt idx="1">
                  <c:v>North</c:v>
                </c:pt>
                <c:pt idx="2">
                  <c:v>South</c:v>
                </c:pt>
                <c:pt idx="3">
                  <c:v>West</c:v>
                </c:pt>
                <c:pt idx="4">
                  <c:v>(blank)</c:v>
                </c:pt>
              </c:strCache>
            </c:strRef>
          </c:cat>
          <c:val>
            <c:numRef>
              <c:f>BarChart!$B$4:$B$9</c:f>
              <c:numCache>
                <c:formatCode>General</c:formatCode>
                <c:ptCount val="5"/>
                <c:pt idx="0">
                  <c:v>1295000</c:v>
                </c:pt>
                <c:pt idx="1">
                  <c:v>1333000</c:v>
                </c:pt>
                <c:pt idx="2">
                  <c:v>1050000</c:v>
                </c:pt>
                <c:pt idx="3">
                  <c:v>1075000</c:v>
                </c:pt>
                <c:pt idx="4">
                  <c:v>30000</c:v>
                </c:pt>
              </c:numCache>
            </c:numRef>
          </c:val>
        </c:ser>
        <c:dLbls>
          <c:showLegendKey val="0"/>
          <c:showVal val="0"/>
          <c:showCatName val="0"/>
          <c:showSerName val="0"/>
          <c:showPercent val="0"/>
          <c:showBubbleSize val="0"/>
        </c:dLbls>
        <c:gapWidth val="182"/>
        <c:axId val="1415238544"/>
        <c:axId val="1415242896"/>
      </c:barChart>
      <c:catAx>
        <c:axId val="141523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42896"/>
        <c:crosses val="autoZero"/>
        <c:auto val="1"/>
        <c:lblAlgn val="ctr"/>
        <c:lblOffset val="100"/>
        <c:noMultiLvlLbl val="0"/>
      </c:catAx>
      <c:valAx>
        <c:axId val="141524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38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2.xlsx]Bar!PivotTable3</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326920384951881"/>
          <c:y val="0.12397929425488481"/>
          <c:w val="0.72312270341207352"/>
          <c:h val="0.65853091280256637"/>
        </c:manualLayout>
      </c:layout>
      <c:barChart>
        <c:barDir val="col"/>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Bar!$B$4:$B$16</c:f>
              <c:numCache>
                <c:formatCode>General</c:formatCode>
                <c:ptCount val="12"/>
                <c:pt idx="0">
                  <c:v>805000</c:v>
                </c:pt>
                <c:pt idx="1">
                  <c:v>338000</c:v>
                </c:pt>
                <c:pt idx="2">
                  <c:v>818500</c:v>
                </c:pt>
                <c:pt idx="3">
                  <c:v>773000</c:v>
                </c:pt>
                <c:pt idx="4">
                  <c:v>591000</c:v>
                </c:pt>
                <c:pt idx="5">
                  <c:v>1079500</c:v>
                </c:pt>
                <c:pt idx="6">
                  <c:v>491000</c:v>
                </c:pt>
                <c:pt idx="7">
                  <c:v>915500</c:v>
                </c:pt>
                <c:pt idx="8">
                  <c:v>696000</c:v>
                </c:pt>
                <c:pt idx="9">
                  <c:v>880000</c:v>
                </c:pt>
                <c:pt idx="10">
                  <c:v>353000</c:v>
                </c:pt>
                <c:pt idx="11">
                  <c:v>563500</c:v>
                </c:pt>
              </c:numCache>
            </c:numRef>
          </c:val>
        </c:ser>
        <c:dLbls>
          <c:showLegendKey val="0"/>
          <c:showVal val="0"/>
          <c:showCatName val="0"/>
          <c:showSerName val="0"/>
          <c:showPercent val="0"/>
          <c:showBubbleSize val="0"/>
        </c:dLbls>
        <c:gapWidth val="219"/>
        <c:overlap val="-27"/>
        <c:axId val="1415243984"/>
        <c:axId val="1415239088"/>
      </c:barChart>
      <c:catAx>
        <c:axId val="141524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39088"/>
        <c:crosses val="autoZero"/>
        <c:auto val="1"/>
        <c:lblAlgn val="ctr"/>
        <c:lblOffset val="100"/>
        <c:noMultiLvlLbl val="0"/>
      </c:catAx>
      <c:valAx>
        <c:axId val="1415239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43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solidFill>
          <a:ln>
            <a:noFill/>
          </a:ln>
          <a:effectLst/>
        </c:spPr>
      </c:pivotFmt>
      <c:pivotFmt>
        <c:idx val="5"/>
        <c:spPr>
          <a:solidFill>
            <a:schemeClr val="accent2"/>
          </a:solidFill>
          <a:ln>
            <a:noFill/>
          </a:ln>
          <a:effectLst/>
        </c:spPr>
        <c:dLbl>
          <c:idx val="0"/>
          <c:layout>
            <c:manualLayout>
              <c:x val="1.125365743866756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'1'!$B$3</c:f>
              <c:strCache>
                <c:ptCount val="1"/>
                <c:pt idx="0">
                  <c:v>Sum of Units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'1'!$A$4:$A$17</c:f>
              <c:strCache>
                <c:ptCount val="13"/>
                <c:pt idx="0">
                  <c:v>(dal) Pulses </c:v>
                </c:pt>
                <c:pt idx="1">
                  <c:v>Bekery  </c:v>
                </c:pt>
                <c:pt idx="2">
                  <c:v>Beverages  </c:v>
                </c:pt>
                <c:pt idx="3">
                  <c:v>Dairy  </c:v>
                </c:pt>
                <c:pt idx="4">
                  <c:v>flour Grains </c:v>
                </c:pt>
                <c:pt idx="5">
                  <c:v>Grains  </c:v>
                </c:pt>
                <c:pt idx="6">
                  <c:v>HouseUse  </c:v>
                </c:pt>
                <c:pt idx="7">
                  <c:v>oil Edible Oils</c:v>
                </c:pt>
                <c:pt idx="8">
                  <c:v>Personal Care </c:v>
                </c:pt>
                <c:pt idx="9">
                  <c:v>Produce  </c:v>
                </c:pt>
                <c:pt idx="10">
                  <c:v>Snacks  </c:v>
                </c:pt>
                <c:pt idx="11">
                  <c:v>Staples  </c:v>
                </c:pt>
                <c:pt idx="12">
                  <c:v>#REF!</c:v>
                </c:pt>
              </c:strCache>
            </c:strRef>
          </c:cat>
          <c:val>
            <c:numRef>
              <c:f>'1'!$B$4:$B$17</c:f>
              <c:numCache>
                <c:formatCode>General</c:formatCode>
                <c:ptCount val="13"/>
                <c:pt idx="0">
                  <c:v>62</c:v>
                </c:pt>
                <c:pt idx="1">
                  <c:v>44</c:v>
                </c:pt>
                <c:pt idx="2">
                  <c:v>90</c:v>
                </c:pt>
                <c:pt idx="3">
                  <c:v>148</c:v>
                </c:pt>
                <c:pt idx="4">
                  <c:v>33</c:v>
                </c:pt>
                <c:pt idx="5">
                  <c:v>62</c:v>
                </c:pt>
                <c:pt idx="6">
                  <c:v>22</c:v>
                </c:pt>
                <c:pt idx="7">
                  <c:v>49</c:v>
                </c:pt>
                <c:pt idx="8">
                  <c:v>130</c:v>
                </c:pt>
                <c:pt idx="9">
                  <c:v>181</c:v>
                </c:pt>
                <c:pt idx="10">
                  <c:v>85</c:v>
                </c:pt>
                <c:pt idx="11">
                  <c:v>102</c:v>
                </c:pt>
                <c:pt idx="12">
                  <c:v>4</c:v>
                </c:pt>
              </c:numCache>
            </c:numRef>
          </c:val>
        </c:ser>
        <c:ser>
          <c:idx val="1"/>
          <c:order val="1"/>
          <c:tx>
            <c:strRef>
              <c:f>'1'!$C$3</c:f>
              <c:strCache>
                <c:ptCount val="1"/>
                <c:pt idx="0">
                  <c:v>Sum of Total Cost</c:v>
                </c:pt>
              </c:strCache>
            </c:strRef>
          </c:tx>
          <c:spPr>
            <a:solidFill>
              <a:schemeClr val="accent2"/>
            </a:solidFill>
            <a:ln>
              <a:noFill/>
            </a:ln>
            <a:effectLst/>
          </c:spPr>
          <c:invertIfNegative val="0"/>
          <c:dPt>
            <c:idx val="9"/>
            <c:invertIfNegative val="0"/>
            <c:bubble3D val="0"/>
          </c:dPt>
          <c:dPt>
            <c:idx val="10"/>
            <c:invertIfNegative val="0"/>
            <c:bubble3D val="0"/>
            <c:spPr>
              <a:solidFill>
                <a:schemeClr val="accent2"/>
              </a:solidFill>
              <a:ln>
                <a:noFill/>
              </a:ln>
              <a:effectLst/>
            </c:spPr>
          </c:dPt>
          <c:dLbls>
            <c:dLbl>
              <c:idx val="10"/>
              <c:layout>
                <c:manualLayout>
                  <c:x val="1.1253657438667567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'1'!$A$4:$A$17</c:f>
              <c:strCache>
                <c:ptCount val="13"/>
                <c:pt idx="0">
                  <c:v>(dal) Pulses </c:v>
                </c:pt>
                <c:pt idx="1">
                  <c:v>Bekery  </c:v>
                </c:pt>
                <c:pt idx="2">
                  <c:v>Beverages  </c:v>
                </c:pt>
                <c:pt idx="3">
                  <c:v>Dairy  </c:v>
                </c:pt>
                <c:pt idx="4">
                  <c:v>flour Grains </c:v>
                </c:pt>
                <c:pt idx="5">
                  <c:v>Grains  </c:v>
                </c:pt>
                <c:pt idx="6">
                  <c:v>HouseUse  </c:v>
                </c:pt>
                <c:pt idx="7">
                  <c:v>oil Edible Oils</c:v>
                </c:pt>
                <c:pt idx="8">
                  <c:v>Personal Care </c:v>
                </c:pt>
                <c:pt idx="9">
                  <c:v>Produce  </c:v>
                </c:pt>
                <c:pt idx="10">
                  <c:v>Snacks  </c:v>
                </c:pt>
                <c:pt idx="11">
                  <c:v>Staples  </c:v>
                </c:pt>
                <c:pt idx="12">
                  <c:v>#REF!</c:v>
                </c:pt>
              </c:strCache>
            </c:strRef>
          </c:cat>
          <c:val>
            <c:numRef>
              <c:f>'1'!$C$4:$C$17</c:f>
              <c:numCache>
                <c:formatCode>General</c:formatCode>
                <c:ptCount val="13"/>
                <c:pt idx="0">
                  <c:v>783000</c:v>
                </c:pt>
                <c:pt idx="1">
                  <c:v>481000</c:v>
                </c:pt>
                <c:pt idx="2">
                  <c:v>1705500</c:v>
                </c:pt>
                <c:pt idx="3">
                  <c:v>2012500</c:v>
                </c:pt>
                <c:pt idx="4">
                  <c:v>460500</c:v>
                </c:pt>
                <c:pt idx="5">
                  <c:v>928000</c:v>
                </c:pt>
                <c:pt idx="6">
                  <c:v>322000</c:v>
                </c:pt>
                <c:pt idx="7">
                  <c:v>1023500</c:v>
                </c:pt>
                <c:pt idx="8">
                  <c:v>2078000</c:v>
                </c:pt>
                <c:pt idx="9">
                  <c:v>2537000</c:v>
                </c:pt>
                <c:pt idx="10">
                  <c:v>2095000</c:v>
                </c:pt>
                <c:pt idx="11">
                  <c:v>1634000</c:v>
                </c:pt>
                <c:pt idx="12">
                  <c:v>80000</c:v>
                </c:pt>
              </c:numCache>
            </c:numRef>
          </c:val>
        </c:ser>
        <c:dLbls>
          <c:dLblPos val="outEnd"/>
          <c:showLegendKey val="0"/>
          <c:showVal val="1"/>
          <c:showCatName val="0"/>
          <c:showSerName val="0"/>
          <c:showPercent val="0"/>
          <c:showBubbleSize val="0"/>
        </c:dLbls>
        <c:gapWidth val="219"/>
        <c:overlap val="-27"/>
        <c:axId val="1415240176"/>
        <c:axId val="1415247248"/>
      </c:barChart>
      <c:catAx>
        <c:axId val="14152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47248"/>
        <c:crosses val="autoZero"/>
        <c:auto val="1"/>
        <c:lblAlgn val="ctr"/>
        <c:lblOffset val="100"/>
        <c:noMultiLvlLbl val="0"/>
      </c:catAx>
      <c:valAx>
        <c:axId val="14152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240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2.xlsx]7!PivotTable10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'7'!$A$4:$A$37</c:f>
              <c:strCache>
                <c:ptCount val="33"/>
                <c:pt idx="0">
                  <c:v>16-01-2025</c:v>
                </c:pt>
                <c:pt idx="1">
                  <c:v>29-01-2025</c:v>
                </c:pt>
                <c:pt idx="2">
                  <c:v>20-02-2025</c:v>
                </c:pt>
                <c:pt idx="3">
                  <c:v>05-03-2025</c:v>
                </c:pt>
                <c:pt idx="4">
                  <c:v>03-04-2025</c:v>
                </c:pt>
                <c:pt idx="5">
                  <c:v>14-04-2025</c:v>
                </c:pt>
                <c:pt idx="6">
                  <c:v>25-04-2025</c:v>
                </c:pt>
                <c:pt idx="7">
                  <c:v>04-05-2025</c:v>
                </c:pt>
                <c:pt idx="8">
                  <c:v>12-05-2025</c:v>
                </c:pt>
                <c:pt idx="9">
                  <c:v>18-05-2025</c:v>
                </c:pt>
                <c:pt idx="10">
                  <c:v>20-05-2025</c:v>
                </c:pt>
                <c:pt idx="11">
                  <c:v>23-05-2025</c:v>
                </c:pt>
                <c:pt idx="12">
                  <c:v>01-06-2025</c:v>
                </c:pt>
                <c:pt idx="13">
                  <c:v>10-06-2025</c:v>
                </c:pt>
                <c:pt idx="14">
                  <c:v>15-06-2025</c:v>
                </c:pt>
                <c:pt idx="15">
                  <c:v>10-08-2025</c:v>
                </c:pt>
                <c:pt idx="16">
                  <c:v>19-08-2025</c:v>
                </c:pt>
                <c:pt idx="17">
                  <c:v>20-08-2025</c:v>
                </c:pt>
                <c:pt idx="18">
                  <c:v>23-08-2025</c:v>
                </c:pt>
                <c:pt idx="19">
                  <c:v>26-08-2025</c:v>
                </c:pt>
                <c:pt idx="20">
                  <c:v>31-08-2025</c:v>
                </c:pt>
                <c:pt idx="21">
                  <c:v>03-09-2025</c:v>
                </c:pt>
                <c:pt idx="22">
                  <c:v>22-09-2025</c:v>
                </c:pt>
                <c:pt idx="23">
                  <c:v>25-09-2025</c:v>
                </c:pt>
                <c:pt idx="24">
                  <c:v>27-09-2025</c:v>
                </c:pt>
                <c:pt idx="25">
                  <c:v>06-10-2025</c:v>
                </c:pt>
                <c:pt idx="26">
                  <c:v>12-10-2025</c:v>
                </c:pt>
                <c:pt idx="27">
                  <c:v>25-10-2025</c:v>
                </c:pt>
                <c:pt idx="28">
                  <c:v>30-10-2025</c:v>
                </c:pt>
                <c:pt idx="29">
                  <c:v>18-11-2025</c:v>
                </c:pt>
                <c:pt idx="30">
                  <c:v>03-12-2025</c:v>
                </c:pt>
                <c:pt idx="31">
                  <c:v>15-12-2025</c:v>
                </c:pt>
                <c:pt idx="32">
                  <c:v>22-12-2025</c:v>
                </c:pt>
              </c:strCache>
            </c:strRef>
          </c:cat>
          <c:val>
            <c:numRef>
              <c:f>'7'!$B$4:$B$37</c:f>
              <c:numCache>
                <c:formatCode>General</c:formatCode>
                <c:ptCount val="33"/>
                <c:pt idx="0">
                  <c:v>3000</c:v>
                </c:pt>
                <c:pt idx="1">
                  <c:v>6000</c:v>
                </c:pt>
                <c:pt idx="2">
                  <c:v>3000</c:v>
                </c:pt>
                <c:pt idx="3">
                  <c:v>82000</c:v>
                </c:pt>
                <c:pt idx="4">
                  <c:v>10000</c:v>
                </c:pt>
                <c:pt idx="5">
                  <c:v>52000</c:v>
                </c:pt>
                <c:pt idx="6">
                  <c:v>18000</c:v>
                </c:pt>
                <c:pt idx="7">
                  <c:v>10000</c:v>
                </c:pt>
                <c:pt idx="8">
                  <c:v>52000</c:v>
                </c:pt>
                <c:pt idx="9">
                  <c:v>30000</c:v>
                </c:pt>
                <c:pt idx="10">
                  <c:v>30000</c:v>
                </c:pt>
                <c:pt idx="11">
                  <c:v>10000</c:v>
                </c:pt>
                <c:pt idx="12">
                  <c:v>3000</c:v>
                </c:pt>
                <c:pt idx="13">
                  <c:v>30000</c:v>
                </c:pt>
                <c:pt idx="14">
                  <c:v>52000</c:v>
                </c:pt>
                <c:pt idx="15">
                  <c:v>10000</c:v>
                </c:pt>
                <c:pt idx="16">
                  <c:v>52000</c:v>
                </c:pt>
                <c:pt idx="17">
                  <c:v>52000</c:v>
                </c:pt>
                <c:pt idx="18">
                  <c:v>30000</c:v>
                </c:pt>
                <c:pt idx="19">
                  <c:v>30000</c:v>
                </c:pt>
                <c:pt idx="20">
                  <c:v>52000</c:v>
                </c:pt>
                <c:pt idx="21">
                  <c:v>30000</c:v>
                </c:pt>
                <c:pt idx="22">
                  <c:v>10000</c:v>
                </c:pt>
                <c:pt idx="23">
                  <c:v>52000</c:v>
                </c:pt>
                <c:pt idx="24">
                  <c:v>30000</c:v>
                </c:pt>
                <c:pt idx="25">
                  <c:v>18000</c:v>
                </c:pt>
                <c:pt idx="26">
                  <c:v>10000</c:v>
                </c:pt>
                <c:pt idx="27">
                  <c:v>3000</c:v>
                </c:pt>
                <c:pt idx="28">
                  <c:v>18000</c:v>
                </c:pt>
                <c:pt idx="29">
                  <c:v>10000</c:v>
                </c:pt>
                <c:pt idx="30">
                  <c:v>3000</c:v>
                </c:pt>
                <c:pt idx="31">
                  <c:v>30000</c:v>
                </c:pt>
                <c:pt idx="32">
                  <c:v>52000</c:v>
                </c:pt>
              </c:numCache>
            </c:numRef>
          </c:val>
          <c:smooth val="0"/>
        </c:ser>
        <c:dLbls>
          <c:showLegendKey val="0"/>
          <c:showVal val="0"/>
          <c:showCatName val="0"/>
          <c:showSerName val="0"/>
          <c:showPercent val="0"/>
          <c:showBubbleSize val="0"/>
        </c:dLbls>
        <c:marker val="1"/>
        <c:smooth val="0"/>
        <c:axId val="1416710944"/>
        <c:axId val="1416720192"/>
      </c:lineChart>
      <c:catAx>
        <c:axId val="141671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20192"/>
        <c:crosses val="autoZero"/>
        <c:auto val="1"/>
        <c:lblAlgn val="ctr"/>
        <c:lblOffset val="100"/>
        <c:noMultiLvlLbl val="0"/>
      </c:catAx>
      <c:valAx>
        <c:axId val="141672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10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2.xlsx]8!PivotTable11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'8'!$B$3</c:f>
              <c:strCache>
                <c:ptCount val="1"/>
                <c:pt idx="0">
                  <c:v>Sum of Selling Price</c:v>
                </c:pt>
              </c:strCache>
            </c:strRef>
          </c:tx>
          <c:spPr>
            <a:solidFill>
              <a:schemeClr val="accent1"/>
            </a:solidFill>
            <a:ln>
              <a:noFill/>
            </a:ln>
            <a:effectLst/>
          </c:spPr>
          <c:invertIfNegative val="0"/>
          <c:cat>
            <c:strRef>
              <c:f>'8'!$A$4:$A$7</c:f>
              <c:strCache>
                <c:ptCount val="3"/>
                <c:pt idx="0">
                  <c:v>Cancelled</c:v>
                </c:pt>
                <c:pt idx="1">
                  <c:v>Completed</c:v>
                </c:pt>
                <c:pt idx="2">
                  <c:v>Pending</c:v>
                </c:pt>
              </c:strCache>
            </c:strRef>
          </c:cat>
          <c:val>
            <c:numRef>
              <c:f>'8'!$B$4:$B$7</c:f>
              <c:numCache>
                <c:formatCode>General</c:formatCode>
                <c:ptCount val="3"/>
                <c:pt idx="0">
                  <c:v>1039000</c:v>
                </c:pt>
                <c:pt idx="1">
                  <c:v>309000</c:v>
                </c:pt>
                <c:pt idx="2">
                  <c:v>3435000</c:v>
                </c:pt>
              </c:numCache>
            </c:numRef>
          </c:val>
        </c:ser>
        <c:ser>
          <c:idx val="1"/>
          <c:order val="1"/>
          <c:tx>
            <c:strRef>
              <c:f>'8'!$C$3</c:f>
              <c:strCache>
                <c:ptCount val="1"/>
                <c:pt idx="0">
                  <c:v>Sum of Units Sold</c:v>
                </c:pt>
              </c:strCache>
            </c:strRef>
          </c:tx>
          <c:spPr>
            <a:solidFill>
              <a:schemeClr val="accent2"/>
            </a:solidFill>
            <a:ln>
              <a:noFill/>
            </a:ln>
            <a:effectLst/>
          </c:spPr>
          <c:invertIfNegative val="0"/>
          <c:cat>
            <c:strRef>
              <c:f>'8'!$A$4:$A$7</c:f>
              <c:strCache>
                <c:ptCount val="3"/>
                <c:pt idx="0">
                  <c:v>Cancelled</c:v>
                </c:pt>
                <c:pt idx="1">
                  <c:v>Completed</c:v>
                </c:pt>
                <c:pt idx="2">
                  <c:v>Pending</c:v>
                </c:pt>
              </c:strCache>
            </c:strRef>
          </c:cat>
          <c:val>
            <c:numRef>
              <c:f>'8'!$C$4:$C$7</c:f>
              <c:numCache>
                <c:formatCode>General</c:formatCode>
                <c:ptCount val="3"/>
                <c:pt idx="0">
                  <c:v>74</c:v>
                </c:pt>
                <c:pt idx="1">
                  <c:v>150</c:v>
                </c:pt>
                <c:pt idx="2">
                  <c:v>788</c:v>
                </c:pt>
              </c:numCache>
            </c:numRef>
          </c:val>
        </c:ser>
        <c:ser>
          <c:idx val="2"/>
          <c:order val="2"/>
          <c:tx>
            <c:strRef>
              <c:f>'8'!$D$3</c:f>
              <c:strCache>
                <c:ptCount val="1"/>
                <c:pt idx="0">
                  <c:v>Sum of Average Revenue per Order</c:v>
                </c:pt>
              </c:strCache>
            </c:strRef>
          </c:tx>
          <c:spPr>
            <a:solidFill>
              <a:schemeClr val="accent3"/>
            </a:solidFill>
            <a:ln>
              <a:noFill/>
            </a:ln>
            <a:effectLst/>
          </c:spPr>
          <c:invertIfNegative val="0"/>
          <c:cat>
            <c:strRef>
              <c:f>'8'!$A$4:$A$7</c:f>
              <c:strCache>
                <c:ptCount val="3"/>
                <c:pt idx="0">
                  <c:v>Cancelled</c:v>
                </c:pt>
                <c:pt idx="1">
                  <c:v>Completed</c:v>
                </c:pt>
                <c:pt idx="2">
                  <c:v>Pending</c:v>
                </c:pt>
              </c:strCache>
            </c:strRef>
          </c:cat>
          <c:val>
            <c:numRef>
              <c:f>'8'!$D$4:$D$7</c:f>
              <c:numCache>
                <c:formatCode>General</c:formatCode>
                <c:ptCount val="3"/>
                <c:pt idx="0">
                  <c:v>14040.54054054054</c:v>
                </c:pt>
                <c:pt idx="1">
                  <c:v>2060</c:v>
                </c:pt>
                <c:pt idx="2">
                  <c:v>4359.1370558375638</c:v>
                </c:pt>
              </c:numCache>
            </c:numRef>
          </c:val>
        </c:ser>
        <c:dLbls>
          <c:showLegendKey val="0"/>
          <c:showVal val="0"/>
          <c:showCatName val="0"/>
          <c:showSerName val="0"/>
          <c:showPercent val="0"/>
          <c:showBubbleSize val="0"/>
        </c:dLbls>
        <c:gapWidth val="219"/>
        <c:overlap val="-27"/>
        <c:axId val="1575913856"/>
        <c:axId val="1575899712"/>
      </c:barChart>
      <c:catAx>
        <c:axId val="15759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99712"/>
        <c:crosses val="autoZero"/>
        <c:auto val="1"/>
        <c:lblAlgn val="ctr"/>
        <c:lblOffset val="100"/>
        <c:noMultiLvlLbl val="0"/>
      </c:catAx>
      <c:valAx>
        <c:axId val="157589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913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2.xlsx]3!PivotTable6</c:name>
    <c:fmtId val="0"/>
  </c:pivotSource>
  <c:chart>
    <c:autoTitleDeleted val="1"/>
    <c:pivotFmts>
      <c:pivotFmt>
        <c:idx val="0"/>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'3'!$B$3</c:f>
              <c:strCache>
                <c:ptCount val="1"/>
                <c:pt idx="0">
                  <c:v>Sum of Total Cost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'3'!$A$4:$A$190</c:f>
              <c:strCache>
                <c:ptCount val="186"/>
                <c:pt idx="0">
                  <c:v>14-01-2020</c:v>
                </c:pt>
                <c:pt idx="1">
                  <c:v>29-01-2020</c:v>
                </c:pt>
                <c:pt idx="2">
                  <c:v>07-02-2020</c:v>
                </c:pt>
                <c:pt idx="3">
                  <c:v>23-02-2020</c:v>
                </c:pt>
                <c:pt idx="4">
                  <c:v>25-02-2020</c:v>
                </c:pt>
                <c:pt idx="5">
                  <c:v>28-02-2020</c:v>
                </c:pt>
                <c:pt idx="6">
                  <c:v>03-04-2020</c:v>
                </c:pt>
                <c:pt idx="7">
                  <c:v>04-04-2020</c:v>
                </c:pt>
                <c:pt idx="8">
                  <c:v>15-04-2020</c:v>
                </c:pt>
                <c:pt idx="9">
                  <c:v>14-05-2020</c:v>
                </c:pt>
                <c:pt idx="10">
                  <c:v>18-05-2020</c:v>
                </c:pt>
                <c:pt idx="11">
                  <c:v>26-05-2020</c:v>
                </c:pt>
                <c:pt idx="12">
                  <c:v>16-06-2020</c:v>
                </c:pt>
                <c:pt idx="13">
                  <c:v>20-06-2020</c:v>
                </c:pt>
                <c:pt idx="14">
                  <c:v>30-07-2020</c:v>
                </c:pt>
                <c:pt idx="15">
                  <c:v>05-08-2020</c:v>
                </c:pt>
                <c:pt idx="16">
                  <c:v>13-08-2020</c:v>
                </c:pt>
                <c:pt idx="17">
                  <c:v>21-08-2020</c:v>
                </c:pt>
                <c:pt idx="18">
                  <c:v>24-08-2020</c:v>
                </c:pt>
                <c:pt idx="19">
                  <c:v>05-09-2020</c:v>
                </c:pt>
                <c:pt idx="20">
                  <c:v>15-09-2020</c:v>
                </c:pt>
                <c:pt idx="21">
                  <c:v>25-09-2020</c:v>
                </c:pt>
                <c:pt idx="22">
                  <c:v>04-10-2020</c:v>
                </c:pt>
                <c:pt idx="23">
                  <c:v>13-10-2020</c:v>
                </c:pt>
                <c:pt idx="24">
                  <c:v>12-11-2020</c:v>
                </c:pt>
                <c:pt idx="25">
                  <c:v>28-12-2020</c:v>
                </c:pt>
                <c:pt idx="26">
                  <c:v>09-01-2021</c:v>
                </c:pt>
                <c:pt idx="27">
                  <c:v>11-01-2021</c:v>
                </c:pt>
                <c:pt idx="28">
                  <c:v>15-01-2021</c:v>
                </c:pt>
                <c:pt idx="29">
                  <c:v>27-01-2021</c:v>
                </c:pt>
                <c:pt idx="30">
                  <c:v>28-01-2021</c:v>
                </c:pt>
                <c:pt idx="31">
                  <c:v>10-03-2021</c:v>
                </c:pt>
                <c:pt idx="32">
                  <c:v>18-03-2021</c:v>
                </c:pt>
                <c:pt idx="33">
                  <c:v>22-03-2021</c:v>
                </c:pt>
                <c:pt idx="34">
                  <c:v>08-04-2021</c:v>
                </c:pt>
                <c:pt idx="35">
                  <c:v>10-04-2021</c:v>
                </c:pt>
                <c:pt idx="36">
                  <c:v>11-04-2021</c:v>
                </c:pt>
                <c:pt idx="37">
                  <c:v>14-04-2021</c:v>
                </c:pt>
                <c:pt idx="38">
                  <c:v>24-04-2021</c:v>
                </c:pt>
                <c:pt idx="39">
                  <c:v>28-04-2021</c:v>
                </c:pt>
                <c:pt idx="40">
                  <c:v>26-05-2021</c:v>
                </c:pt>
                <c:pt idx="41">
                  <c:v>03-06-2021</c:v>
                </c:pt>
                <c:pt idx="42">
                  <c:v>07-06-2021</c:v>
                </c:pt>
                <c:pt idx="43">
                  <c:v>30-06-2021</c:v>
                </c:pt>
                <c:pt idx="44">
                  <c:v>27-07-2021</c:v>
                </c:pt>
                <c:pt idx="45">
                  <c:v>30-07-2021</c:v>
                </c:pt>
                <c:pt idx="46">
                  <c:v>16-08-2021</c:v>
                </c:pt>
                <c:pt idx="47">
                  <c:v>12-09-2021</c:v>
                </c:pt>
                <c:pt idx="48">
                  <c:v>03-10-2021</c:v>
                </c:pt>
                <c:pt idx="49">
                  <c:v>18-10-2021</c:v>
                </c:pt>
                <c:pt idx="50">
                  <c:v>22-10-2021</c:v>
                </c:pt>
                <c:pt idx="51">
                  <c:v>02-11-2021</c:v>
                </c:pt>
                <c:pt idx="52">
                  <c:v>21-11-2021</c:v>
                </c:pt>
                <c:pt idx="53">
                  <c:v>02-12-2021</c:v>
                </c:pt>
                <c:pt idx="54">
                  <c:v>07-12-2021</c:v>
                </c:pt>
                <c:pt idx="55">
                  <c:v>11-12-2021</c:v>
                </c:pt>
                <c:pt idx="56">
                  <c:v>17-12-2021</c:v>
                </c:pt>
                <c:pt idx="57">
                  <c:v>18-01-2022</c:v>
                </c:pt>
                <c:pt idx="58">
                  <c:v>29-01-2022</c:v>
                </c:pt>
                <c:pt idx="59">
                  <c:v>05-02-2022</c:v>
                </c:pt>
                <c:pt idx="60">
                  <c:v>08-02-2022</c:v>
                </c:pt>
                <c:pt idx="61">
                  <c:v>26-02-2022</c:v>
                </c:pt>
                <c:pt idx="62">
                  <c:v>14-03-2022</c:v>
                </c:pt>
                <c:pt idx="63">
                  <c:v>15-03-2022</c:v>
                </c:pt>
                <c:pt idx="64">
                  <c:v>15-04-2022</c:v>
                </c:pt>
                <c:pt idx="65">
                  <c:v>21-04-2022</c:v>
                </c:pt>
                <c:pt idx="66">
                  <c:v>29-04-2022</c:v>
                </c:pt>
                <c:pt idx="67">
                  <c:v>30-04-2022</c:v>
                </c:pt>
                <c:pt idx="68">
                  <c:v>08-05-2022</c:v>
                </c:pt>
                <c:pt idx="69">
                  <c:v>11-05-2022</c:v>
                </c:pt>
                <c:pt idx="70">
                  <c:v>18-05-2022</c:v>
                </c:pt>
                <c:pt idx="71">
                  <c:v>02-06-2022</c:v>
                </c:pt>
                <c:pt idx="72">
                  <c:v>08-06-2022</c:v>
                </c:pt>
                <c:pt idx="73">
                  <c:v>24-07-2022</c:v>
                </c:pt>
                <c:pt idx="74">
                  <c:v>07-08-2022</c:v>
                </c:pt>
                <c:pt idx="75">
                  <c:v>12-08-2022</c:v>
                </c:pt>
                <c:pt idx="76">
                  <c:v>13-08-2022</c:v>
                </c:pt>
                <c:pt idx="77">
                  <c:v>19-08-2022</c:v>
                </c:pt>
                <c:pt idx="78">
                  <c:v>22-08-2022</c:v>
                </c:pt>
                <c:pt idx="79">
                  <c:v>05-09-2022</c:v>
                </c:pt>
                <c:pt idx="80">
                  <c:v>15-09-2022</c:v>
                </c:pt>
                <c:pt idx="81">
                  <c:v>29-09-2022</c:v>
                </c:pt>
                <c:pt idx="82">
                  <c:v>11-10-2022</c:v>
                </c:pt>
                <c:pt idx="83">
                  <c:v>21-10-2022</c:v>
                </c:pt>
                <c:pt idx="84">
                  <c:v>29-10-2022</c:v>
                </c:pt>
                <c:pt idx="85">
                  <c:v>07-11-2022</c:v>
                </c:pt>
                <c:pt idx="86">
                  <c:v>17-11-2022</c:v>
                </c:pt>
                <c:pt idx="87">
                  <c:v>14-12-2022</c:v>
                </c:pt>
                <c:pt idx="88">
                  <c:v>17-12-2022</c:v>
                </c:pt>
                <c:pt idx="89">
                  <c:v>24-12-2022</c:v>
                </c:pt>
                <c:pt idx="90">
                  <c:v>11-01-2023</c:v>
                </c:pt>
                <c:pt idx="91">
                  <c:v>29-01-2023</c:v>
                </c:pt>
                <c:pt idx="92">
                  <c:v>13-02-2023</c:v>
                </c:pt>
                <c:pt idx="93">
                  <c:v>21-02-2023</c:v>
                </c:pt>
                <c:pt idx="94">
                  <c:v>24-02-2023</c:v>
                </c:pt>
                <c:pt idx="95">
                  <c:v>07-03-2023</c:v>
                </c:pt>
                <c:pt idx="96">
                  <c:v>11-03-2023</c:v>
                </c:pt>
                <c:pt idx="97">
                  <c:v>22-03-2023</c:v>
                </c:pt>
                <c:pt idx="98">
                  <c:v>12-04-2023</c:v>
                </c:pt>
                <c:pt idx="99">
                  <c:v>25-04-2023</c:v>
                </c:pt>
                <c:pt idx="100">
                  <c:v>01-05-2023</c:v>
                </c:pt>
                <c:pt idx="101">
                  <c:v>26-05-2023</c:v>
                </c:pt>
                <c:pt idx="102">
                  <c:v>28-05-2023</c:v>
                </c:pt>
                <c:pt idx="103">
                  <c:v>17-06-2023</c:v>
                </c:pt>
                <c:pt idx="104">
                  <c:v>21-06-2023</c:v>
                </c:pt>
                <c:pt idx="105">
                  <c:v>24-06-2023</c:v>
                </c:pt>
                <c:pt idx="106">
                  <c:v>27-06-2023</c:v>
                </c:pt>
                <c:pt idx="107">
                  <c:v>20-07-2023</c:v>
                </c:pt>
                <c:pt idx="108">
                  <c:v>28-07-2023</c:v>
                </c:pt>
                <c:pt idx="109">
                  <c:v>30-07-2023</c:v>
                </c:pt>
                <c:pt idx="110">
                  <c:v>08-08-2023</c:v>
                </c:pt>
                <c:pt idx="111">
                  <c:v>12-08-2023</c:v>
                </c:pt>
                <c:pt idx="112">
                  <c:v>25-08-2023</c:v>
                </c:pt>
                <c:pt idx="113">
                  <c:v>01-09-2023</c:v>
                </c:pt>
                <c:pt idx="114">
                  <c:v>16-09-2023</c:v>
                </c:pt>
                <c:pt idx="115">
                  <c:v>28-09-2023</c:v>
                </c:pt>
                <c:pt idx="116">
                  <c:v>03-10-2023</c:v>
                </c:pt>
                <c:pt idx="117">
                  <c:v>15-10-2023</c:v>
                </c:pt>
                <c:pt idx="118">
                  <c:v>21-10-2023</c:v>
                </c:pt>
                <c:pt idx="119">
                  <c:v>27-10-2023</c:v>
                </c:pt>
                <c:pt idx="120">
                  <c:v>06-11-2023</c:v>
                </c:pt>
                <c:pt idx="121">
                  <c:v>10-11-2023</c:v>
                </c:pt>
                <c:pt idx="122">
                  <c:v>21-11-2023</c:v>
                </c:pt>
                <c:pt idx="123">
                  <c:v>28-11-2023</c:v>
                </c:pt>
                <c:pt idx="124">
                  <c:v>29-11-2023</c:v>
                </c:pt>
                <c:pt idx="125">
                  <c:v>10-01-2024</c:v>
                </c:pt>
                <c:pt idx="126">
                  <c:v>17-01-2024</c:v>
                </c:pt>
                <c:pt idx="127">
                  <c:v>03-02-2024</c:v>
                </c:pt>
                <c:pt idx="128">
                  <c:v>12-02-2024</c:v>
                </c:pt>
                <c:pt idx="129">
                  <c:v>28-02-2024</c:v>
                </c:pt>
                <c:pt idx="130">
                  <c:v>02-03-2024</c:v>
                </c:pt>
                <c:pt idx="131">
                  <c:v>05-03-2024</c:v>
                </c:pt>
                <c:pt idx="132">
                  <c:v>01-04-2024</c:v>
                </c:pt>
                <c:pt idx="133">
                  <c:v>10-04-2024</c:v>
                </c:pt>
                <c:pt idx="134">
                  <c:v>14-04-2024</c:v>
                </c:pt>
                <c:pt idx="135">
                  <c:v>04-05-2024</c:v>
                </c:pt>
                <c:pt idx="136">
                  <c:v>01-06-2024</c:v>
                </c:pt>
                <c:pt idx="137">
                  <c:v>03-06-2024</c:v>
                </c:pt>
                <c:pt idx="138">
                  <c:v>04-06-2024</c:v>
                </c:pt>
                <c:pt idx="139">
                  <c:v>15-06-2024</c:v>
                </c:pt>
                <c:pt idx="140">
                  <c:v>26-06-2024</c:v>
                </c:pt>
                <c:pt idx="141">
                  <c:v>14-07-2024</c:v>
                </c:pt>
                <c:pt idx="142">
                  <c:v>23-07-2024</c:v>
                </c:pt>
                <c:pt idx="143">
                  <c:v>30-07-2024</c:v>
                </c:pt>
                <c:pt idx="144">
                  <c:v>31-08-2024</c:v>
                </c:pt>
                <c:pt idx="145">
                  <c:v>28-09-2024</c:v>
                </c:pt>
                <c:pt idx="146">
                  <c:v>31-10-2024</c:v>
                </c:pt>
                <c:pt idx="147">
                  <c:v>02-11-2024</c:v>
                </c:pt>
                <c:pt idx="148">
                  <c:v>10-11-2024</c:v>
                </c:pt>
                <c:pt idx="149">
                  <c:v>30-11-2024</c:v>
                </c:pt>
                <c:pt idx="150">
                  <c:v>03-12-2024</c:v>
                </c:pt>
                <c:pt idx="151">
                  <c:v>04-12-2024</c:v>
                </c:pt>
                <c:pt idx="152">
                  <c:v>08-12-2024</c:v>
                </c:pt>
                <c:pt idx="153">
                  <c:v>16-01-2025</c:v>
                </c:pt>
                <c:pt idx="154">
                  <c:v>29-01-2025</c:v>
                </c:pt>
                <c:pt idx="155">
                  <c:v>20-02-2025</c:v>
                </c:pt>
                <c:pt idx="156">
                  <c:v>05-03-2025</c:v>
                </c:pt>
                <c:pt idx="157">
                  <c:v>03-04-2025</c:v>
                </c:pt>
                <c:pt idx="158">
                  <c:v>14-04-2025</c:v>
                </c:pt>
                <c:pt idx="159">
                  <c:v>25-04-2025</c:v>
                </c:pt>
                <c:pt idx="160">
                  <c:v>04-05-2025</c:v>
                </c:pt>
                <c:pt idx="161">
                  <c:v>12-05-2025</c:v>
                </c:pt>
                <c:pt idx="162">
                  <c:v>18-05-2025</c:v>
                </c:pt>
                <c:pt idx="163">
                  <c:v>20-05-2025</c:v>
                </c:pt>
                <c:pt idx="164">
                  <c:v>23-05-2025</c:v>
                </c:pt>
                <c:pt idx="165">
                  <c:v>01-06-2025</c:v>
                </c:pt>
                <c:pt idx="166">
                  <c:v>10-06-2025</c:v>
                </c:pt>
                <c:pt idx="167">
                  <c:v>15-06-2025</c:v>
                </c:pt>
                <c:pt idx="168">
                  <c:v>10-08-2025</c:v>
                </c:pt>
                <c:pt idx="169">
                  <c:v>19-08-2025</c:v>
                </c:pt>
                <c:pt idx="170">
                  <c:v>20-08-2025</c:v>
                </c:pt>
                <c:pt idx="171">
                  <c:v>23-08-2025</c:v>
                </c:pt>
                <c:pt idx="172">
                  <c:v>26-08-2025</c:v>
                </c:pt>
                <c:pt idx="173">
                  <c:v>31-08-2025</c:v>
                </c:pt>
                <c:pt idx="174">
                  <c:v>03-09-2025</c:v>
                </c:pt>
                <c:pt idx="175">
                  <c:v>22-09-2025</c:v>
                </c:pt>
                <c:pt idx="176">
                  <c:v>25-09-2025</c:v>
                </c:pt>
                <c:pt idx="177">
                  <c:v>27-09-2025</c:v>
                </c:pt>
                <c:pt idx="178">
                  <c:v>06-10-2025</c:v>
                </c:pt>
                <c:pt idx="179">
                  <c:v>12-10-2025</c:v>
                </c:pt>
                <c:pt idx="180">
                  <c:v>25-10-2025</c:v>
                </c:pt>
                <c:pt idx="181">
                  <c:v>30-10-2025</c:v>
                </c:pt>
                <c:pt idx="182">
                  <c:v>18-11-2025</c:v>
                </c:pt>
                <c:pt idx="183">
                  <c:v>03-12-2025</c:v>
                </c:pt>
                <c:pt idx="184">
                  <c:v>15-12-2025</c:v>
                </c:pt>
                <c:pt idx="185">
                  <c:v>22-12-2025</c:v>
                </c:pt>
              </c:strCache>
            </c:strRef>
          </c:cat>
          <c:val>
            <c:numRef>
              <c:f>'3'!$B$4:$B$190</c:f>
              <c:numCache>
                <c:formatCode>General</c:formatCode>
                <c:ptCount val="186"/>
                <c:pt idx="0">
                  <c:v>180000</c:v>
                </c:pt>
                <c:pt idx="1">
                  <c:v>12000</c:v>
                </c:pt>
                <c:pt idx="2">
                  <c:v>12000</c:v>
                </c:pt>
                <c:pt idx="3">
                  <c:v>6000</c:v>
                </c:pt>
                <c:pt idx="4">
                  <c:v>42000</c:v>
                </c:pt>
                <c:pt idx="5">
                  <c:v>9000</c:v>
                </c:pt>
                <c:pt idx="6">
                  <c:v>108000</c:v>
                </c:pt>
                <c:pt idx="7">
                  <c:v>35000</c:v>
                </c:pt>
                <c:pt idx="8">
                  <c:v>12000</c:v>
                </c:pt>
                <c:pt idx="9">
                  <c:v>280000</c:v>
                </c:pt>
                <c:pt idx="10">
                  <c:v>20000</c:v>
                </c:pt>
                <c:pt idx="11">
                  <c:v>12000</c:v>
                </c:pt>
                <c:pt idx="12">
                  <c:v>6000</c:v>
                </c:pt>
                <c:pt idx="13">
                  <c:v>12000</c:v>
                </c:pt>
                <c:pt idx="14">
                  <c:v>24000</c:v>
                </c:pt>
                <c:pt idx="15">
                  <c:v>96000</c:v>
                </c:pt>
                <c:pt idx="16">
                  <c:v>40000</c:v>
                </c:pt>
                <c:pt idx="17">
                  <c:v>100000</c:v>
                </c:pt>
                <c:pt idx="18">
                  <c:v>12000</c:v>
                </c:pt>
                <c:pt idx="19">
                  <c:v>4500</c:v>
                </c:pt>
                <c:pt idx="20">
                  <c:v>72000</c:v>
                </c:pt>
                <c:pt idx="21">
                  <c:v>54000</c:v>
                </c:pt>
                <c:pt idx="22">
                  <c:v>18000</c:v>
                </c:pt>
                <c:pt idx="23">
                  <c:v>240000</c:v>
                </c:pt>
                <c:pt idx="24">
                  <c:v>12000</c:v>
                </c:pt>
                <c:pt idx="25">
                  <c:v>7500</c:v>
                </c:pt>
                <c:pt idx="26">
                  <c:v>10500</c:v>
                </c:pt>
                <c:pt idx="27">
                  <c:v>140000</c:v>
                </c:pt>
                <c:pt idx="28">
                  <c:v>350000</c:v>
                </c:pt>
                <c:pt idx="29">
                  <c:v>18000</c:v>
                </c:pt>
                <c:pt idx="30">
                  <c:v>12000</c:v>
                </c:pt>
                <c:pt idx="31">
                  <c:v>24000</c:v>
                </c:pt>
                <c:pt idx="32">
                  <c:v>12000</c:v>
                </c:pt>
                <c:pt idx="33">
                  <c:v>280000</c:v>
                </c:pt>
                <c:pt idx="34">
                  <c:v>13500</c:v>
                </c:pt>
                <c:pt idx="35">
                  <c:v>9000</c:v>
                </c:pt>
                <c:pt idx="36">
                  <c:v>60000</c:v>
                </c:pt>
                <c:pt idx="37">
                  <c:v>140000</c:v>
                </c:pt>
                <c:pt idx="38">
                  <c:v>120000</c:v>
                </c:pt>
                <c:pt idx="39">
                  <c:v>36000</c:v>
                </c:pt>
                <c:pt idx="40">
                  <c:v>24000</c:v>
                </c:pt>
                <c:pt idx="41">
                  <c:v>105000</c:v>
                </c:pt>
                <c:pt idx="42">
                  <c:v>140000</c:v>
                </c:pt>
                <c:pt idx="43">
                  <c:v>20000</c:v>
                </c:pt>
                <c:pt idx="44">
                  <c:v>120000</c:v>
                </c:pt>
                <c:pt idx="45">
                  <c:v>292000</c:v>
                </c:pt>
                <c:pt idx="46">
                  <c:v>175000</c:v>
                </c:pt>
                <c:pt idx="47">
                  <c:v>72000</c:v>
                </c:pt>
                <c:pt idx="48">
                  <c:v>42000</c:v>
                </c:pt>
                <c:pt idx="49">
                  <c:v>315000</c:v>
                </c:pt>
                <c:pt idx="50">
                  <c:v>280000</c:v>
                </c:pt>
                <c:pt idx="51">
                  <c:v>12000</c:v>
                </c:pt>
                <c:pt idx="52">
                  <c:v>72000</c:v>
                </c:pt>
                <c:pt idx="53">
                  <c:v>315000</c:v>
                </c:pt>
                <c:pt idx="54">
                  <c:v>24000</c:v>
                </c:pt>
                <c:pt idx="55">
                  <c:v>120000</c:v>
                </c:pt>
                <c:pt idx="56">
                  <c:v>84000</c:v>
                </c:pt>
                <c:pt idx="57">
                  <c:v>70000</c:v>
                </c:pt>
                <c:pt idx="58">
                  <c:v>35000</c:v>
                </c:pt>
                <c:pt idx="59">
                  <c:v>140000</c:v>
                </c:pt>
                <c:pt idx="60">
                  <c:v>84000</c:v>
                </c:pt>
                <c:pt idx="61">
                  <c:v>38000</c:v>
                </c:pt>
                <c:pt idx="62">
                  <c:v>210000</c:v>
                </c:pt>
                <c:pt idx="63">
                  <c:v>280000</c:v>
                </c:pt>
                <c:pt idx="64">
                  <c:v>140000</c:v>
                </c:pt>
                <c:pt idx="65">
                  <c:v>12000</c:v>
                </c:pt>
                <c:pt idx="66">
                  <c:v>140000</c:v>
                </c:pt>
                <c:pt idx="67">
                  <c:v>9000</c:v>
                </c:pt>
                <c:pt idx="68">
                  <c:v>84000</c:v>
                </c:pt>
                <c:pt idx="69">
                  <c:v>175000</c:v>
                </c:pt>
                <c:pt idx="70">
                  <c:v>48000</c:v>
                </c:pt>
                <c:pt idx="71">
                  <c:v>48000</c:v>
                </c:pt>
                <c:pt idx="72">
                  <c:v>350000</c:v>
                </c:pt>
                <c:pt idx="73">
                  <c:v>18000</c:v>
                </c:pt>
                <c:pt idx="74">
                  <c:v>6000</c:v>
                </c:pt>
                <c:pt idx="75">
                  <c:v>80000</c:v>
                </c:pt>
                <c:pt idx="76">
                  <c:v>60000</c:v>
                </c:pt>
                <c:pt idx="77">
                  <c:v>24000</c:v>
                </c:pt>
                <c:pt idx="78">
                  <c:v>315000</c:v>
                </c:pt>
                <c:pt idx="79">
                  <c:v>160000</c:v>
                </c:pt>
                <c:pt idx="80">
                  <c:v>48000</c:v>
                </c:pt>
                <c:pt idx="81">
                  <c:v>245000</c:v>
                </c:pt>
                <c:pt idx="82">
                  <c:v>70000</c:v>
                </c:pt>
                <c:pt idx="83">
                  <c:v>72000</c:v>
                </c:pt>
                <c:pt idx="84">
                  <c:v>72000</c:v>
                </c:pt>
                <c:pt idx="85">
                  <c:v>24000</c:v>
                </c:pt>
                <c:pt idx="86">
                  <c:v>140000</c:v>
                </c:pt>
                <c:pt idx="87">
                  <c:v>36000</c:v>
                </c:pt>
                <c:pt idx="88">
                  <c:v>24000</c:v>
                </c:pt>
                <c:pt idx="89">
                  <c:v>1500</c:v>
                </c:pt>
                <c:pt idx="90">
                  <c:v>245000</c:v>
                </c:pt>
                <c:pt idx="91">
                  <c:v>10500</c:v>
                </c:pt>
                <c:pt idx="92">
                  <c:v>80000</c:v>
                </c:pt>
                <c:pt idx="93">
                  <c:v>13500</c:v>
                </c:pt>
                <c:pt idx="94">
                  <c:v>60000</c:v>
                </c:pt>
                <c:pt idx="95">
                  <c:v>60000</c:v>
                </c:pt>
                <c:pt idx="96">
                  <c:v>4500</c:v>
                </c:pt>
                <c:pt idx="97">
                  <c:v>80000</c:v>
                </c:pt>
                <c:pt idx="98">
                  <c:v>60000</c:v>
                </c:pt>
                <c:pt idx="99">
                  <c:v>114000</c:v>
                </c:pt>
                <c:pt idx="100">
                  <c:v>48000</c:v>
                </c:pt>
                <c:pt idx="101">
                  <c:v>36000</c:v>
                </c:pt>
                <c:pt idx="102">
                  <c:v>18000</c:v>
                </c:pt>
                <c:pt idx="103">
                  <c:v>200000</c:v>
                </c:pt>
                <c:pt idx="104">
                  <c:v>80000</c:v>
                </c:pt>
                <c:pt idx="105">
                  <c:v>12000</c:v>
                </c:pt>
                <c:pt idx="106">
                  <c:v>175000</c:v>
                </c:pt>
                <c:pt idx="107">
                  <c:v>36000</c:v>
                </c:pt>
                <c:pt idx="108">
                  <c:v>100000</c:v>
                </c:pt>
                <c:pt idx="109">
                  <c:v>36000</c:v>
                </c:pt>
                <c:pt idx="110">
                  <c:v>12000</c:v>
                </c:pt>
                <c:pt idx="111">
                  <c:v>124500</c:v>
                </c:pt>
                <c:pt idx="112">
                  <c:v>12000</c:v>
                </c:pt>
                <c:pt idx="113">
                  <c:v>70000</c:v>
                </c:pt>
                <c:pt idx="114">
                  <c:v>3000</c:v>
                </c:pt>
                <c:pt idx="115">
                  <c:v>15000</c:v>
                </c:pt>
                <c:pt idx="116">
                  <c:v>24000</c:v>
                </c:pt>
                <c:pt idx="117">
                  <c:v>80000</c:v>
                </c:pt>
                <c:pt idx="118">
                  <c:v>245000</c:v>
                </c:pt>
                <c:pt idx="119">
                  <c:v>80000</c:v>
                </c:pt>
                <c:pt idx="120">
                  <c:v>3000</c:v>
                </c:pt>
                <c:pt idx="121">
                  <c:v>7500</c:v>
                </c:pt>
                <c:pt idx="122">
                  <c:v>83000</c:v>
                </c:pt>
                <c:pt idx="123">
                  <c:v>24000</c:v>
                </c:pt>
                <c:pt idx="124">
                  <c:v>1500</c:v>
                </c:pt>
                <c:pt idx="125">
                  <c:v>180000</c:v>
                </c:pt>
                <c:pt idx="126">
                  <c:v>258500</c:v>
                </c:pt>
                <c:pt idx="127">
                  <c:v>42000</c:v>
                </c:pt>
                <c:pt idx="128">
                  <c:v>1500</c:v>
                </c:pt>
                <c:pt idx="129">
                  <c:v>60000</c:v>
                </c:pt>
                <c:pt idx="130">
                  <c:v>84000</c:v>
                </c:pt>
                <c:pt idx="131">
                  <c:v>280000</c:v>
                </c:pt>
                <c:pt idx="132">
                  <c:v>24000</c:v>
                </c:pt>
                <c:pt idx="133">
                  <c:v>4500</c:v>
                </c:pt>
                <c:pt idx="134">
                  <c:v>280000</c:v>
                </c:pt>
                <c:pt idx="135">
                  <c:v>120000</c:v>
                </c:pt>
                <c:pt idx="136">
                  <c:v>1500</c:v>
                </c:pt>
                <c:pt idx="137">
                  <c:v>180000</c:v>
                </c:pt>
                <c:pt idx="138">
                  <c:v>54000</c:v>
                </c:pt>
                <c:pt idx="139">
                  <c:v>315000</c:v>
                </c:pt>
                <c:pt idx="140">
                  <c:v>35000</c:v>
                </c:pt>
                <c:pt idx="141">
                  <c:v>60000</c:v>
                </c:pt>
                <c:pt idx="142">
                  <c:v>105000</c:v>
                </c:pt>
                <c:pt idx="143">
                  <c:v>140000</c:v>
                </c:pt>
                <c:pt idx="144">
                  <c:v>84000</c:v>
                </c:pt>
                <c:pt idx="145">
                  <c:v>7500</c:v>
                </c:pt>
                <c:pt idx="146">
                  <c:v>132000</c:v>
                </c:pt>
                <c:pt idx="147">
                  <c:v>24000</c:v>
                </c:pt>
                <c:pt idx="148">
                  <c:v>40000</c:v>
                </c:pt>
                <c:pt idx="149">
                  <c:v>180000</c:v>
                </c:pt>
                <c:pt idx="150">
                  <c:v>40000</c:v>
                </c:pt>
                <c:pt idx="151">
                  <c:v>12000</c:v>
                </c:pt>
                <c:pt idx="152">
                  <c:v>200000</c:v>
                </c:pt>
                <c:pt idx="153">
                  <c:v>15000</c:v>
                </c:pt>
                <c:pt idx="154">
                  <c:v>22500</c:v>
                </c:pt>
                <c:pt idx="155">
                  <c:v>12000</c:v>
                </c:pt>
                <c:pt idx="156">
                  <c:v>340000</c:v>
                </c:pt>
                <c:pt idx="157">
                  <c:v>30000</c:v>
                </c:pt>
                <c:pt idx="158">
                  <c:v>70000</c:v>
                </c:pt>
                <c:pt idx="159">
                  <c:v>36000</c:v>
                </c:pt>
                <c:pt idx="160">
                  <c:v>12000</c:v>
                </c:pt>
                <c:pt idx="161">
                  <c:v>140000</c:v>
                </c:pt>
                <c:pt idx="162">
                  <c:v>80000</c:v>
                </c:pt>
                <c:pt idx="163">
                  <c:v>40000</c:v>
                </c:pt>
                <c:pt idx="164">
                  <c:v>12000</c:v>
                </c:pt>
                <c:pt idx="165">
                  <c:v>9000</c:v>
                </c:pt>
                <c:pt idx="166">
                  <c:v>80000</c:v>
                </c:pt>
                <c:pt idx="167">
                  <c:v>315000</c:v>
                </c:pt>
                <c:pt idx="168">
                  <c:v>54000</c:v>
                </c:pt>
                <c:pt idx="169">
                  <c:v>140000</c:v>
                </c:pt>
                <c:pt idx="170">
                  <c:v>105000</c:v>
                </c:pt>
                <c:pt idx="171">
                  <c:v>100000</c:v>
                </c:pt>
                <c:pt idx="172">
                  <c:v>40000</c:v>
                </c:pt>
                <c:pt idx="173">
                  <c:v>210000</c:v>
                </c:pt>
                <c:pt idx="174">
                  <c:v>200000</c:v>
                </c:pt>
                <c:pt idx="175">
                  <c:v>36000</c:v>
                </c:pt>
                <c:pt idx="176">
                  <c:v>245000</c:v>
                </c:pt>
                <c:pt idx="177">
                  <c:v>120000</c:v>
                </c:pt>
                <c:pt idx="178">
                  <c:v>12000</c:v>
                </c:pt>
                <c:pt idx="179">
                  <c:v>12000</c:v>
                </c:pt>
                <c:pt idx="180">
                  <c:v>6000</c:v>
                </c:pt>
                <c:pt idx="181">
                  <c:v>36000</c:v>
                </c:pt>
                <c:pt idx="182">
                  <c:v>36000</c:v>
                </c:pt>
                <c:pt idx="183">
                  <c:v>10500</c:v>
                </c:pt>
                <c:pt idx="184">
                  <c:v>140000</c:v>
                </c:pt>
                <c:pt idx="185">
                  <c:v>105000</c:v>
                </c:pt>
              </c:numCache>
            </c:numRef>
          </c:val>
          <c:smooth val="0"/>
        </c:ser>
        <c:ser>
          <c:idx val="1"/>
          <c:order val="1"/>
          <c:tx>
            <c:strRef>
              <c:f>'3'!$C$3</c:f>
              <c:strCache>
                <c:ptCount val="1"/>
                <c:pt idx="0">
                  <c:v>Count of Units Sold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'3'!$A$4:$A$190</c:f>
              <c:strCache>
                <c:ptCount val="186"/>
                <c:pt idx="0">
                  <c:v>14-01-2020</c:v>
                </c:pt>
                <c:pt idx="1">
                  <c:v>29-01-2020</c:v>
                </c:pt>
                <c:pt idx="2">
                  <c:v>07-02-2020</c:v>
                </c:pt>
                <c:pt idx="3">
                  <c:v>23-02-2020</c:v>
                </c:pt>
                <c:pt idx="4">
                  <c:v>25-02-2020</c:v>
                </c:pt>
                <c:pt idx="5">
                  <c:v>28-02-2020</c:v>
                </c:pt>
                <c:pt idx="6">
                  <c:v>03-04-2020</c:v>
                </c:pt>
                <c:pt idx="7">
                  <c:v>04-04-2020</c:v>
                </c:pt>
                <c:pt idx="8">
                  <c:v>15-04-2020</c:v>
                </c:pt>
                <c:pt idx="9">
                  <c:v>14-05-2020</c:v>
                </c:pt>
                <c:pt idx="10">
                  <c:v>18-05-2020</c:v>
                </c:pt>
                <c:pt idx="11">
                  <c:v>26-05-2020</c:v>
                </c:pt>
                <c:pt idx="12">
                  <c:v>16-06-2020</c:v>
                </c:pt>
                <c:pt idx="13">
                  <c:v>20-06-2020</c:v>
                </c:pt>
                <c:pt idx="14">
                  <c:v>30-07-2020</c:v>
                </c:pt>
                <c:pt idx="15">
                  <c:v>05-08-2020</c:v>
                </c:pt>
                <c:pt idx="16">
                  <c:v>13-08-2020</c:v>
                </c:pt>
                <c:pt idx="17">
                  <c:v>21-08-2020</c:v>
                </c:pt>
                <c:pt idx="18">
                  <c:v>24-08-2020</c:v>
                </c:pt>
                <c:pt idx="19">
                  <c:v>05-09-2020</c:v>
                </c:pt>
                <c:pt idx="20">
                  <c:v>15-09-2020</c:v>
                </c:pt>
                <c:pt idx="21">
                  <c:v>25-09-2020</c:v>
                </c:pt>
                <c:pt idx="22">
                  <c:v>04-10-2020</c:v>
                </c:pt>
                <c:pt idx="23">
                  <c:v>13-10-2020</c:v>
                </c:pt>
                <c:pt idx="24">
                  <c:v>12-11-2020</c:v>
                </c:pt>
                <c:pt idx="25">
                  <c:v>28-12-2020</c:v>
                </c:pt>
                <c:pt idx="26">
                  <c:v>09-01-2021</c:v>
                </c:pt>
                <c:pt idx="27">
                  <c:v>11-01-2021</c:v>
                </c:pt>
                <c:pt idx="28">
                  <c:v>15-01-2021</c:v>
                </c:pt>
                <c:pt idx="29">
                  <c:v>27-01-2021</c:v>
                </c:pt>
                <c:pt idx="30">
                  <c:v>28-01-2021</c:v>
                </c:pt>
                <c:pt idx="31">
                  <c:v>10-03-2021</c:v>
                </c:pt>
                <c:pt idx="32">
                  <c:v>18-03-2021</c:v>
                </c:pt>
                <c:pt idx="33">
                  <c:v>22-03-2021</c:v>
                </c:pt>
                <c:pt idx="34">
                  <c:v>08-04-2021</c:v>
                </c:pt>
                <c:pt idx="35">
                  <c:v>10-04-2021</c:v>
                </c:pt>
                <c:pt idx="36">
                  <c:v>11-04-2021</c:v>
                </c:pt>
                <c:pt idx="37">
                  <c:v>14-04-2021</c:v>
                </c:pt>
                <c:pt idx="38">
                  <c:v>24-04-2021</c:v>
                </c:pt>
                <c:pt idx="39">
                  <c:v>28-04-2021</c:v>
                </c:pt>
                <c:pt idx="40">
                  <c:v>26-05-2021</c:v>
                </c:pt>
                <c:pt idx="41">
                  <c:v>03-06-2021</c:v>
                </c:pt>
                <c:pt idx="42">
                  <c:v>07-06-2021</c:v>
                </c:pt>
                <c:pt idx="43">
                  <c:v>30-06-2021</c:v>
                </c:pt>
                <c:pt idx="44">
                  <c:v>27-07-2021</c:v>
                </c:pt>
                <c:pt idx="45">
                  <c:v>30-07-2021</c:v>
                </c:pt>
                <c:pt idx="46">
                  <c:v>16-08-2021</c:v>
                </c:pt>
                <c:pt idx="47">
                  <c:v>12-09-2021</c:v>
                </c:pt>
                <c:pt idx="48">
                  <c:v>03-10-2021</c:v>
                </c:pt>
                <c:pt idx="49">
                  <c:v>18-10-2021</c:v>
                </c:pt>
                <c:pt idx="50">
                  <c:v>22-10-2021</c:v>
                </c:pt>
                <c:pt idx="51">
                  <c:v>02-11-2021</c:v>
                </c:pt>
                <c:pt idx="52">
                  <c:v>21-11-2021</c:v>
                </c:pt>
                <c:pt idx="53">
                  <c:v>02-12-2021</c:v>
                </c:pt>
                <c:pt idx="54">
                  <c:v>07-12-2021</c:v>
                </c:pt>
                <c:pt idx="55">
                  <c:v>11-12-2021</c:v>
                </c:pt>
                <c:pt idx="56">
                  <c:v>17-12-2021</c:v>
                </c:pt>
                <c:pt idx="57">
                  <c:v>18-01-2022</c:v>
                </c:pt>
                <c:pt idx="58">
                  <c:v>29-01-2022</c:v>
                </c:pt>
                <c:pt idx="59">
                  <c:v>05-02-2022</c:v>
                </c:pt>
                <c:pt idx="60">
                  <c:v>08-02-2022</c:v>
                </c:pt>
                <c:pt idx="61">
                  <c:v>26-02-2022</c:v>
                </c:pt>
                <c:pt idx="62">
                  <c:v>14-03-2022</c:v>
                </c:pt>
                <c:pt idx="63">
                  <c:v>15-03-2022</c:v>
                </c:pt>
                <c:pt idx="64">
                  <c:v>15-04-2022</c:v>
                </c:pt>
                <c:pt idx="65">
                  <c:v>21-04-2022</c:v>
                </c:pt>
                <c:pt idx="66">
                  <c:v>29-04-2022</c:v>
                </c:pt>
                <c:pt idx="67">
                  <c:v>30-04-2022</c:v>
                </c:pt>
                <c:pt idx="68">
                  <c:v>08-05-2022</c:v>
                </c:pt>
                <c:pt idx="69">
                  <c:v>11-05-2022</c:v>
                </c:pt>
                <c:pt idx="70">
                  <c:v>18-05-2022</c:v>
                </c:pt>
                <c:pt idx="71">
                  <c:v>02-06-2022</c:v>
                </c:pt>
                <c:pt idx="72">
                  <c:v>08-06-2022</c:v>
                </c:pt>
                <c:pt idx="73">
                  <c:v>24-07-2022</c:v>
                </c:pt>
                <c:pt idx="74">
                  <c:v>07-08-2022</c:v>
                </c:pt>
                <c:pt idx="75">
                  <c:v>12-08-2022</c:v>
                </c:pt>
                <c:pt idx="76">
                  <c:v>13-08-2022</c:v>
                </c:pt>
                <c:pt idx="77">
                  <c:v>19-08-2022</c:v>
                </c:pt>
                <c:pt idx="78">
                  <c:v>22-08-2022</c:v>
                </c:pt>
                <c:pt idx="79">
                  <c:v>05-09-2022</c:v>
                </c:pt>
                <c:pt idx="80">
                  <c:v>15-09-2022</c:v>
                </c:pt>
                <c:pt idx="81">
                  <c:v>29-09-2022</c:v>
                </c:pt>
                <c:pt idx="82">
                  <c:v>11-10-2022</c:v>
                </c:pt>
                <c:pt idx="83">
                  <c:v>21-10-2022</c:v>
                </c:pt>
                <c:pt idx="84">
                  <c:v>29-10-2022</c:v>
                </c:pt>
                <c:pt idx="85">
                  <c:v>07-11-2022</c:v>
                </c:pt>
                <c:pt idx="86">
                  <c:v>17-11-2022</c:v>
                </c:pt>
                <c:pt idx="87">
                  <c:v>14-12-2022</c:v>
                </c:pt>
                <c:pt idx="88">
                  <c:v>17-12-2022</c:v>
                </c:pt>
                <c:pt idx="89">
                  <c:v>24-12-2022</c:v>
                </c:pt>
                <c:pt idx="90">
                  <c:v>11-01-2023</c:v>
                </c:pt>
                <c:pt idx="91">
                  <c:v>29-01-2023</c:v>
                </c:pt>
                <c:pt idx="92">
                  <c:v>13-02-2023</c:v>
                </c:pt>
                <c:pt idx="93">
                  <c:v>21-02-2023</c:v>
                </c:pt>
                <c:pt idx="94">
                  <c:v>24-02-2023</c:v>
                </c:pt>
                <c:pt idx="95">
                  <c:v>07-03-2023</c:v>
                </c:pt>
                <c:pt idx="96">
                  <c:v>11-03-2023</c:v>
                </c:pt>
                <c:pt idx="97">
                  <c:v>22-03-2023</c:v>
                </c:pt>
                <c:pt idx="98">
                  <c:v>12-04-2023</c:v>
                </c:pt>
                <c:pt idx="99">
                  <c:v>25-04-2023</c:v>
                </c:pt>
                <c:pt idx="100">
                  <c:v>01-05-2023</c:v>
                </c:pt>
                <c:pt idx="101">
                  <c:v>26-05-2023</c:v>
                </c:pt>
                <c:pt idx="102">
                  <c:v>28-05-2023</c:v>
                </c:pt>
                <c:pt idx="103">
                  <c:v>17-06-2023</c:v>
                </c:pt>
                <c:pt idx="104">
                  <c:v>21-06-2023</c:v>
                </c:pt>
                <c:pt idx="105">
                  <c:v>24-06-2023</c:v>
                </c:pt>
                <c:pt idx="106">
                  <c:v>27-06-2023</c:v>
                </c:pt>
                <c:pt idx="107">
                  <c:v>20-07-2023</c:v>
                </c:pt>
                <c:pt idx="108">
                  <c:v>28-07-2023</c:v>
                </c:pt>
                <c:pt idx="109">
                  <c:v>30-07-2023</c:v>
                </c:pt>
                <c:pt idx="110">
                  <c:v>08-08-2023</c:v>
                </c:pt>
                <c:pt idx="111">
                  <c:v>12-08-2023</c:v>
                </c:pt>
                <c:pt idx="112">
                  <c:v>25-08-2023</c:v>
                </c:pt>
                <c:pt idx="113">
                  <c:v>01-09-2023</c:v>
                </c:pt>
                <c:pt idx="114">
                  <c:v>16-09-2023</c:v>
                </c:pt>
                <c:pt idx="115">
                  <c:v>28-09-2023</c:v>
                </c:pt>
                <c:pt idx="116">
                  <c:v>03-10-2023</c:v>
                </c:pt>
                <c:pt idx="117">
                  <c:v>15-10-2023</c:v>
                </c:pt>
                <c:pt idx="118">
                  <c:v>21-10-2023</c:v>
                </c:pt>
                <c:pt idx="119">
                  <c:v>27-10-2023</c:v>
                </c:pt>
                <c:pt idx="120">
                  <c:v>06-11-2023</c:v>
                </c:pt>
                <c:pt idx="121">
                  <c:v>10-11-2023</c:v>
                </c:pt>
                <c:pt idx="122">
                  <c:v>21-11-2023</c:v>
                </c:pt>
                <c:pt idx="123">
                  <c:v>28-11-2023</c:v>
                </c:pt>
                <c:pt idx="124">
                  <c:v>29-11-2023</c:v>
                </c:pt>
                <c:pt idx="125">
                  <c:v>10-01-2024</c:v>
                </c:pt>
                <c:pt idx="126">
                  <c:v>17-01-2024</c:v>
                </c:pt>
                <c:pt idx="127">
                  <c:v>03-02-2024</c:v>
                </c:pt>
                <c:pt idx="128">
                  <c:v>12-02-2024</c:v>
                </c:pt>
                <c:pt idx="129">
                  <c:v>28-02-2024</c:v>
                </c:pt>
                <c:pt idx="130">
                  <c:v>02-03-2024</c:v>
                </c:pt>
                <c:pt idx="131">
                  <c:v>05-03-2024</c:v>
                </c:pt>
                <c:pt idx="132">
                  <c:v>01-04-2024</c:v>
                </c:pt>
                <c:pt idx="133">
                  <c:v>10-04-2024</c:v>
                </c:pt>
                <c:pt idx="134">
                  <c:v>14-04-2024</c:v>
                </c:pt>
                <c:pt idx="135">
                  <c:v>04-05-2024</c:v>
                </c:pt>
                <c:pt idx="136">
                  <c:v>01-06-2024</c:v>
                </c:pt>
                <c:pt idx="137">
                  <c:v>03-06-2024</c:v>
                </c:pt>
                <c:pt idx="138">
                  <c:v>04-06-2024</c:v>
                </c:pt>
                <c:pt idx="139">
                  <c:v>15-06-2024</c:v>
                </c:pt>
                <c:pt idx="140">
                  <c:v>26-06-2024</c:v>
                </c:pt>
                <c:pt idx="141">
                  <c:v>14-07-2024</c:v>
                </c:pt>
                <c:pt idx="142">
                  <c:v>23-07-2024</c:v>
                </c:pt>
                <c:pt idx="143">
                  <c:v>30-07-2024</c:v>
                </c:pt>
                <c:pt idx="144">
                  <c:v>31-08-2024</c:v>
                </c:pt>
                <c:pt idx="145">
                  <c:v>28-09-2024</c:v>
                </c:pt>
                <c:pt idx="146">
                  <c:v>31-10-2024</c:v>
                </c:pt>
                <c:pt idx="147">
                  <c:v>02-11-2024</c:v>
                </c:pt>
                <c:pt idx="148">
                  <c:v>10-11-2024</c:v>
                </c:pt>
                <c:pt idx="149">
                  <c:v>30-11-2024</c:v>
                </c:pt>
                <c:pt idx="150">
                  <c:v>03-12-2024</c:v>
                </c:pt>
                <c:pt idx="151">
                  <c:v>04-12-2024</c:v>
                </c:pt>
                <c:pt idx="152">
                  <c:v>08-12-2024</c:v>
                </c:pt>
                <c:pt idx="153">
                  <c:v>16-01-2025</c:v>
                </c:pt>
                <c:pt idx="154">
                  <c:v>29-01-2025</c:v>
                </c:pt>
                <c:pt idx="155">
                  <c:v>20-02-2025</c:v>
                </c:pt>
                <c:pt idx="156">
                  <c:v>05-03-2025</c:v>
                </c:pt>
                <c:pt idx="157">
                  <c:v>03-04-2025</c:v>
                </c:pt>
                <c:pt idx="158">
                  <c:v>14-04-2025</c:v>
                </c:pt>
                <c:pt idx="159">
                  <c:v>25-04-2025</c:v>
                </c:pt>
                <c:pt idx="160">
                  <c:v>04-05-2025</c:v>
                </c:pt>
                <c:pt idx="161">
                  <c:v>12-05-2025</c:v>
                </c:pt>
                <c:pt idx="162">
                  <c:v>18-05-2025</c:v>
                </c:pt>
                <c:pt idx="163">
                  <c:v>20-05-2025</c:v>
                </c:pt>
                <c:pt idx="164">
                  <c:v>23-05-2025</c:v>
                </c:pt>
                <c:pt idx="165">
                  <c:v>01-06-2025</c:v>
                </c:pt>
                <c:pt idx="166">
                  <c:v>10-06-2025</c:v>
                </c:pt>
                <c:pt idx="167">
                  <c:v>15-06-2025</c:v>
                </c:pt>
                <c:pt idx="168">
                  <c:v>10-08-2025</c:v>
                </c:pt>
                <c:pt idx="169">
                  <c:v>19-08-2025</c:v>
                </c:pt>
                <c:pt idx="170">
                  <c:v>20-08-2025</c:v>
                </c:pt>
                <c:pt idx="171">
                  <c:v>23-08-2025</c:v>
                </c:pt>
                <c:pt idx="172">
                  <c:v>26-08-2025</c:v>
                </c:pt>
                <c:pt idx="173">
                  <c:v>31-08-2025</c:v>
                </c:pt>
                <c:pt idx="174">
                  <c:v>03-09-2025</c:v>
                </c:pt>
                <c:pt idx="175">
                  <c:v>22-09-2025</c:v>
                </c:pt>
                <c:pt idx="176">
                  <c:v>25-09-2025</c:v>
                </c:pt>
                <c:pt idx="177">
                  <c:v>27-09-2025</c:v>
                </c:pt>
                <c:pt idx="178">
                  <c:v>06-10-2025</c:v>
                </c:pt>
                <c:pt idx="179">
                  <c:v>12-10-2025</c:v>
                </c:pt>
                <c:pt idx="180">
                  <c:v>25-10-2025</c:v>
                </c:pt>
                <c:pt idx="181">
                  <c:v>30-10-2025</c:v>
                </c:pt>
                <c:pt idx="182">
                  <c:v>18-11-2025</c:v>
                </c:pt>
                <c:pt idx="183">
                  <c:v>03-12-2025</c:v>
                </c:pt>
                <c:pt idx="184">
                  <c:v>15-12-2025</c:v>
                </c:pt>
                <c:pt idx="185">
                  <c:v>22-12-2025</c:v>
                </c:pt>
              </c:strCache>
            </c:strRef>
          </c:cat>
          <c:val>
            <c:numRef>
              <c:f>'3'!$C$4:$C$190</c:f>
              <c:numCache>
                <c:formatCode>General</c:formatCode>
                <c:ptCount val="18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2</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3</c:v>
                </c:pt>
                <c:pt idx="46">
                  <c:v>1</c:v>
                </c:pt>
                <c:pt idx="47">
                  <c:v>2</c:v>
                </c:pt>
                <c:pt idx="48">
                  <c:v>1</c:v>
                </c:pt>
                <c:pt idx="49">
                  <c:v>1</c:v>
                </c:pt>
                <c:pt idx="50">
                  <c:v>1</c:v>
                </c:pt>
                <c:pt idx="51">
                  <c:v>1</c:v>
                </c:pt>
                <c:pt idx="52">
                  <c:v>1</c:v>
                </c:pt>
                <c:pt idx="53">
                  <c:v>1</c:v>
                </c:pt>
                <c:pt idx="54">
                  <c:v>1</c:v>
                </c:pt>
                <c:pt idx="55">
                  <c:v>1</c:v>
                </c:pt>
                <c:pt idx="56">
                  <c:v>1</c:v>
                </c:pt>
                <c:pt idx="57">
                  <c:v>1</c:v>
                </c:pt>
                <c:pt idx="58">
                  <c:v>1</c:v>
                </c:pt>
                <c:pt idx="59">
                  <c:v>1</c:v>
                </c:pt>
                <c:pt idx="60">
                  <c:v>1</c:v>
                </c:pt>
                <c:pt idx="61">
                  <c:v>2</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2</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2</c:v>
                </c:pt>
                <c:pt idx="100">
                  <c:v>1</c:v>
                </c:pt>
                <c:pt idx="101">
                  <c:v>1</c:v>
                </c:pt>
                <c:pt idx="102">
                  <c:v>1</c:v>
                </c:pt>
                <c:pt idx="103">
                  <c:v>1</c:v>
                </c:pt>
                <c:pt idx="104">
                  <c:v>1</c:v>
                </c:pt>
                <c:pt idx="105">
                  <c:v>1</c:v>
                </c:pt>
                <c:pt idx="106">
                  <c:v>1</c:v>
                </c:pt>
                <c:pt idx="107">
                  <c:v>1</c:v>
                </c:pt>
                <c:pt idx="108">
                  <c:v>1</c:v>
                </c:pt>
                <c:pt idx="109">
                  <c:v>1</c:v>
                </c:pt>
                <c:pt idx="110">
                  <c:v>1</c:v>
                </c:pt>
                <c:pt idx="111">
                  <c:v>2</c:v>
                </c:pt>
                <c:pt idx="112">
                  <c:v>1</c:v>
                </c:pt>
                <c:pt idx="113">
                  <c:v>1</c:v>
                </c:pt>
                <c:pt idx="114">
                  <c:v>1</c:v>
                </c:pt>
                <c:pt idx="115">
                  <c:v>1</c:v>
                </c:pt>
                <c:pt idx="116">
                  <c:v>1</c:v>
                </c:pt>
                <c:pt idx="117">
                  <c:v>1</c:v>
                </c:pt>
                <c:pt idx="118">
                  <c:v>1</c:v>
                </c:pt>
                <c:pt idx="119">
                  <c:v>1</c:v>
                </c:pt>
                <c:pt idx="120">
                  <c:v>1</c:v>
                </c:pt>
                <c:pt idx="121">
                  <c:v>1</c:v>
                </c:pt>
                <c:pt idx="122">
                  <c:v>2</c:v>
                </c:pt>
                <c:pt idx="123">
                  <c:v>1</c:v>
                </c:pt>
                <c:pt idx="124">
                  <c:v>1</c:v>
                </c:pt>
                <c:pt idx="125">
                  <c:v>1</c:v>
                </c:pt>
                <c:pt idx="126">
                  <c:v>2</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2</c:v>
                </c:pt>
                <c:pt idx="146">
                  <c:v>2</c:v>
                </c:pt>
                <c:pt idx="147">
                  <c:v>1</c:v>
                </c:pt>
                <c:pt idx="148">
                  <c:v>1</c:v>
                </c:pt>
                <c:pt idx="149">
                  <c:v>1</c:v>
                </c:pt>
                <c:pt idx="150">
                  <c:v>1</c:v>
                </c:pt>
                <c:pt idx="151">
                  <c:v>1</c:v>
                </c:pt>
                <c:pt idx="152">
                  <c:v>1</c:v>
                </c:pt>
                <c:pt idx="153">
                  <c:v>1</c:v>
                </c:pt>
                <c:pt idx="154">
                  <c:v>2</c:v>
                </c:pt>
                <c:pt idx="155">
                  <c:v>1</c:v>
                </c:pt>
                <c:pt idx="156">
                  <c:v>2</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numCache>
            </c:numRef>
          </c:val>
          <c:smooth val="0"/>
        </c:ser>
        <c:dLbls>
          <c:dLblPos val="t"/>
          <c:showLegendKey val="0"/>
          <c:showVal val="1"/>
          <c:showCatName val="0"/>
          <c:showSerName val="0"/>
          <c:showPercent val="0"/>
          <c:showBubbleSize val="0"/>
        </c:dLbls>
        <c:smooth val="0"/>
        <c:axId val="1416720736"/>
        <c:axId val="1416721824"/>
      </c:lineChart>
      <c:catAx>
        <c:axId val="14167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21824"/>
        <c:crosses val="autoZero"/>
        <c:auto val="1"/>
        <c:lblAlgn val="ctr"/>
        <c:lblOffset val="100"/>
        <c:noMultiLvlLbl val="0"/>
      </c:catAx>
      <c:valAx>
        <c:axId val="141672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20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2.xlsx]4!PivotTable7</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'4'!$B$3</c:f>
              <c:strCache>
                <c:ptCount val="1"/>
                <c:pt idx="0">
                  <c:v>Total</c:v>
                </c:pt>
              </c:strCache>
            </c:strRef>
          </c:tx>
          <c:spPr>
            <a:solidFill>
              <a:schemeClr val="accent1"/>
            </a:solidFill>
            <a:ln>
              <a:noFill/>
            </a:ln>
            <a:effectLst/>
          </c:spPr>
          <c:invertIfNegative val="0"/>
          <c:cat>
            <c:strRef>
              <c:f>'4'!$A$4:$A$16</c:f>
              <c:strCache>
                <c:ptCount val="12"/>
                <c:pt idx="0">
                  <c:v>(dal) Pulses </c:v>
                </c:pt>
                <c:pt idx="1">
                  <c:v>Bekery  </c:v>
                </c:pt>
                <c:pt idx="2">
                  <c:v>Beverages  </c:v>
                </c:pt>
                <c:pt idx="3">
                  <c:v>Dairy  </c:v>
                </c:pt>
                <c:pt idx="4">
                  <c:v>flour Grains </c:v>
                </c:pt>
                <c:pt idx="5">
                  <c:v>Grains  </c:v>
                </c:pt>
                <c:pt idx="6">
                  <c:v>HouseUse  </c:v>
                </c:pt>
                <c:pt idx="7">
                  <c:v>oil Edible Oils</c:v>
                </c:pt>
                <c:pt idx="8">
                  <c:v>Personal Care </c:v>
                </c:pt>
                <c:pt idx="9">
                  <c:v>Produce  </c:v>
                </c:pt>
                <c:pt idx="10">
                  <c:v>Snacks  </c:v>
                </c:pt>
                <c:pt idx="11">
                  <c:v>Staples  </c:v>
                </c:pt>
              </c:strCache>
            </c:strRef>
          </c:cat>
          <c:val>
            <c:numRef>
              <c:f>'4'!$B$4:$B$16</c:f>
              <c:numCache>
                <c:formatCode>General</c:formatCode>
                <c:ptCount val="12"/>
                <c:pt idx="0">
                  <c:v>174000</c:v>
                </c:pt>
                <c:pt idx="1">
                  <c:v>166000</c:v>
                </c:pt>
                <c:pt idx="2">
                  <c:v>437000</c:v>
                </c:pt>
                <c:pt idx="3">
                  <c:v>652000</c:v>
                </c:pt>
                <c:pt idx="4">
                  <c:v>188000</c:v>
                </c:pt>
                <c:pt idx="5">
                  <c:v>279000</c:v>
                </c:pt>
                <c:pt idx="6">
                  <c:v>146000</c:v>
                </c:pt>
                <c:pt idx="7">
                  <c:v>225000</c:v>
                </c:pt>
                <c:pt idx="8">
                  <c:v>663000</c:v>
                </c:pt>
                <c:pt idx="9">
                  <c:v>883000</c:v>
                </c:pt>
                <c:pt idx="10">
                  <c:v>513000</c:v>
                </c:pt>
                <c:pt idx="11">
                  <c:v>457000</c:v>
                </c:pt>
              </c:numCache>
            </c:numRef>
          </c:val>
        </c:ser>
        <c:dLbls>
          <c:showLegendKey val="0"/>
          <c:showVal val="0"/>
          <c:showCatName val="0"/>
          <c:showSerName val="0"/>
          <c:showPercent val="0"/>
          <c:showBubbleSize val="0"/>
        </c:dLbls>
        <c:gapWidth val="219"/>
        <c:overlap val="-27"/>
        <c:axId val="1416713120"/>
        <c:axId val="1416718560"/>
      </c:barChart>
      <c:catAx>
        <c:axId val="1416713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18560"/>
        <c:crosses val="autoZero"/>
        <c:auto val="1"/>
        <c:lblAlgn val="ctr"/>
        <c:lblOffset val="100"/>
        <c:noMultiLvlLbl val="0"/>
      </c:catAx>
      <c:valAx>
        <c:axId val="141671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1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2.xlsx]6!PivotTable8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'6'!$A$4:$A$7</c:f>
              <c:strCache>
                <c:ptCount val="3"/>
                <c:pt idx="0">
                  <c:v>Cancelled</c:v>
                </c:pt>
                <c:pt idx="1">
                  <c:v>Completed</c:v>
                </c:pt>
                <c:pt idx="2">
                  <c:v>Pending</c:v>
                </c:pt>
              </c:strCache>
            </c:strRef>
          </c:cat>
          <c:val>
            <c:numRef>
              <c:f>'6'!$B$4:$B$7</c:f>
              <c:numCache>
                <c:formatCode>General</c:formatCode>
                <c:ptCount val="3"/>
                <c:pt idx="0">
                  <c:v>74</c:v>
                </c:pt>
                <c:pt idx="1">
                  <c:v>150</c:v>
                </c:pt>
                <c:pt idx="2">
                  <c:v>788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2.xlsx]7!PivotTable10</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'7'!$A$4:$A$37</c:f>
              <c:strCache>
                <c:ptCount val="33"/>
                <c:pt idx="0">
                  <c:v>16-01-2025</c:v>
                </c:pt>
                <c:pt idx="1">
                  <c:v>29-01-2025</c:v>
                </c:pt>
                <c:pt idx="2">
                  <c:v>20-02-2025</c:v>
                </c:pt>
                <c:pt idx="3">
                  <c:v>05-03-2025</c:v>
                </c:pt>
                <c:pt idx="4">
                  <c:v>03-04-2025</c:v>
                </c:pt>
                <c:pt idx="5">
                  <c:v>14-04-2025</c:v>
                </c:pt>
                <c:pt idx="6">
                  <c:v>25-04-2025</c:v>
                </c:pt>
                <c:pt idx="7">
                  <c:v>04-05-2025</c:v>
                </c:pt>
                <c:pt idx="8">
                  <c:v>12-05-2025</c:v>
                </c:pt>
                <c:pt idx="9">
                  <c:v>18-05-2025</c:v>
                </c:pt>
                <c:pt idx="10">
                  <c:v>20-05-2025</c:v>
                </c:pt>
                <c:pt idx="11">
                  <c:v>23-05-2025</c:v>
                </c:pt>
                <c:pt idx="12">
                  <c:v>01-06-2025</c:v>
                </c:pt>
                <c:pt idx="13">
                  <c:v>10-06-2025</c:v>
                </c:pt>
                <c:pt idx="14">
                  <c:v>15-06-2025</c:v>
                </c:pt>
                <c:pt idx="15">
                  <c:v>10-08-2025</c:v>
                </c:pt>
                <c:pt idx="16">
                  <c:v>19-08-2025</c:v>
                </c:pt>
                <c:pt idx="17">
                  <c:v>20-08-2025</c:v>
                </c:pt>
                <c:pt idx="18">
                  <c:v>23-08-2025</c:v>
                </c:pt>
                <c:pt idx="19">
                  <c:v>26-08-2025</c:v>
                </c:pt>
                <c:pt idx="20">
                  <c:v>31-08-2025</c:v>
                </c:pt>
                <c:pt idx="21">
                  <c:v>03-09-2025</c:v>
                </c:pt>
                <c:pt idx="22">
                  <c:v>22-09-2025</c:v>
                </c:pt>
                <c:pt idx="23">
                  <c:v>25-09-2025</c:v>
                </c:pt>
                <c:pt idx="24">
                  <c:v>27-09-2025</c:v>
                </c:pt>
                <c:pt idx="25">
                  <c:v>06-10-2025</c:v>
                </c:pt>
                <c:pt idx="26">
                  <c:v>12-10-2025</c:v>
                </c:pt>
                <c:pt idx="27">
                  <c:v>25-10-2025</c:v>
                </c:pt>
                <c:pt idx="28">
                  <c:v>30-10-2025</c:v>
                </c:pt>
                <c:pt idx="29">
                  <c:v>18-11-2025</c:v>
                </c:pt>
                <c:pt idx="30">
                  <c:v>03-12-2025</c:v>
                </c:pt>
                <c:pt idx="31">
                  <c:v>15-12-2025</c:v>
                </c:pt>
                <c:pt idx="32">
                  <c:v>22-12-2025</c:v>
                </c:pt>
              </c:strCache>
            </c:strRef>
          </c:cat>
          <c:val>
            <c:numRef>
              <c:f>'7'!$B$4:$B$37</c:f>
              <c:numCache>
                <c:formatCode>General</c:formatCode>
                <c:ptCount val="33"/>
                <c:pt idx="0">
                  <c:v>3000</c:v>
                </c:pt>
                <c:pt idx="1">
                  <c:v>6000</c:v>
                </c:pt>
                <c:pt idx="2">
                  <c:v>3000</c:v>
                </c:pt>
                <c:pt idx="3">
                  <c:v>82000</c:v>
                </c:pt>
                <c:pt idx="4">
                  <c:v>10000</c:v>
                </c:pt>
                <c:pt idx="5">
                  <c:v>52000</c:v>
                </c:pt>
                <c:pt idx="6">
                  <c:v>18000</c:v>
                </c:pt>
                <c:pt idx="7">
                  <c:v>10000</c:v>
                </c:pt>
                <c:pt idx="8">
                  <c:v>52000</c:v>
                </c:pt>
                <c:pt idx="9">
                  <c:v>30000</c:v>
                </c:pt>
                <c:pt idx="10">
                  <c:v>30000</c:v>
                </c:pt>
                <c:pt idx="11">
                  <c:v>10000</c:v>
                </c:pt>
                <c:pt idx="12">
                  <c:v>3000</c:v>
                </c:pt>
                <c:pt idx="13">
                  <c:v>30000</c:v>
                </c:pt>
                <c:pt idx="14">
                  <c:v>52000</c:v>
                </c:pt>
                <c:pt idx="15">
                  <c:v>10000</c:v>
                </c:pt>
                <c:pt idx="16">
                  <c:v>52000</c:v>
                </c:pt>
                <c:pt idx="17">
                  <c:v>52000</c:v>
                </c:pt>
                <c:pt idx="18">
                  <c:v>30000</c:v>
                </c:pt>
                <c:pt idx="19">
                  <c:v>30000</c:v>
                </c:pt>
                <c:pt idx="20">
                  <c:v>52000</c:v>
                </c:pt>
                <c:pt idx="21">
                  <c:v>30000</c:v>
                </c:pt>
                <c:pt idx="22">
                  <c:v>10000</c:v>
                </c:pt>
                <c:pt idx="23">
                  <c:v>52000</c:v>
                </c:pt>
                <c:pt idx="24">
                  <c:v>30000</c:v>
                </c:pt>
                <c:pt idx="25">
                  <c:v>18000</c:v>
                </c:pt>
                <c:pt idx="26">
                  <c:v>10000</c:v>
                </c:pt>
                <c:pt idx="27">
                  <c:v>3000</c:v>
                </c:pt>
                <c:pt idx="28">
                  <c:v>18000</c:v>
                </c:pt>
                <c:pt idx="29">
                  <c:v>10000</c:v>
                </c:pt>
                <c:pt idx="30">
                  <c:v>3000</c:v>
                </c:pt>
                <c:pt idx="31">
                  <c:v>30000</c:v>
                </c:pt>
                <c:pt idx="32">
                  <c:v>52000</c:v>
                </c:pt>
              </c:numCache>
            </c:numRef>
          </c:val>
          <c:smooth val="0"/>
        </c:ser>
        <c:dLbls>
          <c:dLblPos val="t"/>
          <c:showLegendKey val="0"/>
          <c:showVal val="1"/>
          <c:showCatName val="0"/>
          <c:showSerName val="0"/>
          <c:showPercent val="0"/>
          <c:showBubbleSize val="0"/>
        </c:dLbls>
        <c:marker val="1"/>
        <c:smooth val="0"/>
        <c:axId val="1416719104"/>
        <c:axId val="1416716384"/>
      </c:lineChart>
      <c:catAx>
        <c:axId val="141671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16384"/>
        <c:crosses val="autoZero"/>
        <c:auto val="1"/>
        <c:lblAlgn val="ctr"/>
        <c:lblOffset val="100"/>
        <c:noMultiLvlLbl val="0"/>
      </c:catAx>
      <c:valAx>
        <c:axId val="14167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1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rPr>
              <a:t>Year By Revenu</a:t>
            </a:r>
          </a:p>
        </c:rich>
      </c:tx>
      <c:layout>
        <c:manualLayout>
          <c:xMode val="edge"/>
          <c:yMode val="edge"/>
          <c:x val="0.44237405106970323"/>
          <c:y val="0.11699493653944815"/>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3483042880509"/>
          <c:y val="0.29499745999492"/>
          <c:w val="0.76918863402944193"/>
          <c:h val="0.46318643637287277"/>
        </c:manualLayout>
      </c:layout>
      <c:areaChart>
        <c:grouping val="standard"/>
        <c:varyColors val="0"/>
        <c:ser>
          <c:idx val="0"/>
          <c:order val="0"/>
          <c:tx>
            <c:v>Total</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
              <c:pt idx="0">
                <c:v>2024</c:v>
              </c:pt>
            </c:strLit>
          </c:cat>
          <c:val>
            <c:numLit>
              <c:formatCode>General</c:formatCode>
              <c:ptCount val="1"/>
              <c:pt idx="0">
                <c:v>1366000</c:v>
              </c:pt>
            </c:numLit>
          </c:val>
        </c:ser>
        <c:dLbls>
          <c:showLegendKey val="0"/>
          <c:showVal val="1"/>
          <c:showCatName val="0"/>
          <c:showSerName val="0"/>
          <c:showPercent val="0"/>
          <c:showBubbleSize val="0"/>
        </c:dLbls>
        <c:axId val="1430557760"/>
        <c:axId val="1430558304"/>
      </c:areaChart>
      <c:catAx>
        <c:axId val="1430557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58304"/>
        <c:crosses val="autoZero"/>
        <c:auto val="1"/>
        <c:lblAlgn val="ctr"/>
        <c:lblOffset val="100"/>
        <c:noMultiLvlLbl val="0"/>
      </c:catAx>
      <c:valAx>
        <c:axId val="14305583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55776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24</xdr:col>
      <xdr:colOff>83820</xdr:colOff>
      <xdr:row>1</xdr:row>
      <xdr:rowOff>137160</xdr:rowOff>
    </xdr:from>
    <xdr:to>
      <xdr:col>31</xdr:col>
      <xdr:colOff>388620</xdr:colOff>
      <xdr:row>16</xdr:row>
      <xdr:rowOff>137160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198120</xdr:colOff>
      <xdr:row>19</xdr:row>
      <xdr:rowOff>30480</xdr:rowOff>
    </xdr:from>
    <xdr:to>
      <xdr:col>29</xdr:col>
      <xdr:colOff>502920</xdr:colOff>
      <xdr:row>34</xdr:row>
      <xdr:rowOff>30480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594360</xdr:colOff>
      <xdr:row>35</xdr:row>
      <xdr:rowOff>83820</xdr:rowOff>
    </xdr:from>
    <xdr:to>
      <xdr:col>29</xdr:col>
      <xdr:colOff>289560</xdr:colOff>
      <xdr:row>50</xdr:row>
      <xdr:rowOff>83820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85135</xdr:colOff>
      <xdr:row>0</xdr:row>
      <xdr:rowOff>87780</xdr:rowOff>
    </xdr:from>
    <xdr:to>
      <xdr:col>1</xdr:col>
      <xdr:colOff>519535</xdr:colOff>
      <xdr:row>9</xdr:row>
      <xdr:rowOff>133860</xdr:rowOff>
    </xdr:to>
    <mc:AlternateContent xmlns:mc="http://schemas.openxmlformats.org/markup-compatibility/2006" xmlns:a14="http://schemas.microsoft.com/office/drawing/2010/main">
      <mc:Choice Requires="a14">
        <xdr:graphicFrame macro="">
          <xdr:nvGraphicFramePr>
            <xdr:cNvPr id="2" name="Region 2"/>
            <xdr:cNvGraphicFramePr>
              <a:graphicFrameLocks/>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5135" y="87780"/>
              <a:ext cx="1044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175260</xdr:colOff>
      <xdr:row>16</xdr:row>
      <xdr:rowOff>53340</xdr:rowOff>
    </xdr:from>
    <xdr:to>
      <xdr:col>16</xdr:col>
      <xdr:colOff>0</xdr:colOff>
      <xdr:row>34</xdr:row>
      <xdr:rowOff>15240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220980</xdr:colOff>
      <xdr:row>0</xdr:row>
      <xdr:rowOff>129540</xdr:rowOff>
    </xdr:from>
    <xdr:to>
      <xdr:col>15</xdr:col>
      <xdr:colOff>586740</xdr:colOff>
      <xdr:row>15</xdr:row>
      <xdr:rowOff>106680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xdr:colOff>
      <xdr:row>16</xdr:row>
      <xdr:rowOff>38100</xdr:rowOff>
    </xdr:from>
    <xdr:to>
      <xdr:col>9</xdr:col>
      <xdr:colOff>45720</xdr:colOff>
      <xdr:row>33</xdr:row>
      <xdr:rowOff>160020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10</xdr:row>
      <xdr:rowOff>53340</xdr:rowOff>
    </xdr:from>
    <xdr:to>
      <xdr:col>1</xdr:col>
      <xdr:colOff>567360</xdr:colOff>
      <xdr:row>21</xdr:row>
      <xdr:rowOff>22860</xdr:rowOff>
    </xdr:to>
    <mc:AlternateContent xmlns:mc="http://schemas.openxmlformats.org/markup-compatibility/2006" xmlns:a14="http://schemas.microsoft.com/office/drawing/2010/main">
      <mc:Choice Requires="a14">
        <xdr:graphicFrame macro="">
          <xdr:nvGraphicFramePr>
            <xdr:cNvPr id="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0960" y="1882140"/>
              <a:ext cx="11160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91440</xdr:rowOff>
    </xdr:from>
    <xdr:to>
      <xdr:col>1</xdr:col>
      <xdr:colOff>556260</xdr:colOff>
      <xdr:row>29</xdr:row>
      <xdr:rowOff>53340</xdr:rowOff>
    </xdr:to>
    <mc:AlternateContent xmlns:mc="http://schemas.openxmlformats.org/markup-compatibility/2006" xmlns:a14="http://schemas.microsoft.com/office/drawing/2010/main">
      <mc:Choice Requires="a14">
        <xdr:graphicFrame macro="">
          <xdr:nvGraphicFramePr>
            <xdr:cNvPr id="7" name="Quarter 1"/>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0" y="3931920"/>
              <a:ext cx="116586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167640</xdr:colOff>
      <xdr:row>0</xdr:row>
      <xdr:rowOff>60960</xdr:rowOff>
    </xdr:from>
    <xdr:to>
      <xdr:col>9</xdr:col>
      <xdr:colOff>68580</xdr:colOff>
      <xdr:row>15</xdr:row>
      <xdr:rowOff>106680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167640</xdr:colOff>
      <xdr:row>16</xdr:row>
      <xdr:rowOff>53340</xdr:rowOff>
    </xdr:from>
    <xdr:to>
      <xdr:col>23</xdr:col>
      <xdr:colOff>434340</xdr:colOff>
      <xdr:row>33</xdr:row>
      <xdr:rowOff>99060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137160</xdr:colOff>
      <xdr:row>0</xdr:row>
      <xdr:rowOff>99060</xdr:rowOff>
    </xdr:from>
    <xdr:to>
      <xdr:col>23</xdr:col>
      <xdr:colOff>441960</xdr:colOff>
      <xdr:row>15</xdr:row>
      <xdr:rowOff>99060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2</xdr:row>
      <xdr:rowOff>7620</xdr:rowOff>
    </xdr:from>
    <xdr:to>
      <xdr:col>11</xdr:col>
      <xdr:colOff>365760</xdr:colOff>
      <xdr:row>17</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121920</xdr:colOff>
      <xdr:row>2</xdr:row>
      <xdr:rowOff>7620</xdr:rowOff>
    </xdr:from>
    <xdr:to>
      <xdr:col>9</xdr:col>
      <xdr:colOff>426720</xdr:colOff>
      <xdr:row>17</xdr:row>
      <xdr:rowOff>7620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91440</xdr:colOff>
      <xdr:row>1</xdr:row>
      <xdr:rowOff>26670</xdr:rowOff>
    </xdr:from>
    <xdr:to>
      <xdr:col>18</xdr:col>
      <xdr:colOff>243840</xdr:colOff>
      <xdr:row>16</xdr:row>
      <xdr:rowOff>26670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175260</xdr:colOff>
      <xdr:row>1</xdr:row>
      <xdr:rowOff>7620</xdr:rowOff>
    </xdr:from>
    <xdr:to>
      <xdr:col>9</xdr:col>
      <xdr:colOff>480060</xdr:colOff>
      <xdr:row>16</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11</xdr:row>
      <xdr:rowOff>53340</xdr:rowOff>
    </xdr:from>
    <xdr:to>
      <xdr:col>1</xdr:col>
      <xdr:colOff>388620</xdr:colOff>
      <xdr:row>20</xdr:row>
      <xdr:rowOff>83820</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580" y="2065020"/>
              <a:ext cx="11811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158940</xdr:colOff>
      <xdr:row>0</xdr:row>
      <xdr:rowOff>128580</xdr:rowOff>
    </xdr:from>
    <xdr:to>
      <xdr:col>5</xdr:col>
      <xdr:colOff>120840</xdr:colOff>
      <xdr:row>9</xdr:row>
      <xdr:rowOff>159060</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7740" y="128580"/>
              <a:ext cx="11811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312420</xdr:colOff>
      <xdr:row>0</xdr:row>
      <xdr:rowOff>121921</xdr:rowOff>
    </xdr:from>
    <xdr:to>
      <xdr:col>8</xdr:col>
      <xdr:colOff>312420</xdr:colOff>
      <xdr:row>11</xdr:row>
      <xdr:rowOff>91441</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60420" y="12192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106680</xdr:colOff>
      <xdr:row>0</xdr:row>
      <xdr:rowOff>167641</xdr:rowOff>
    </xdr:from>
    <xdr:to>
      <xdr:col>12</xdr:col>
      <xdr:colOff>106680</xdr:colOff>
      <xdr:row>8</xdr:row>
      <xdr:rowOff>129541</xdr:rowOff>
    </xdr:to>
    <mc:AlternateContent xmlns:mc="http://schemas.openxmlformats.org/markup-compatibility/2006">
      <mc:Choice xmlns:a14="http://schemas.microsoft.com/office/drawing/2010/main" Requires="a14">
        <xdr:graphicFrame macro="">
          <xdr:nvGraphicFramePr>
            <xdr:cNvPr id="4"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5593080" y="16764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449580</xdr:colOff>
      <xdr:row>1</xdr:row>
      <xdr:rowOff>83820</xdr:rowOff>
    </xdr:from>
    <xdr:to>
      <xdr:col>10</xdr:col>
      <xdr:colOff>144780</xdr:colOff>
      <xdr:row>16</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76200</xdr:colOff>
      <xdr:row>18</xdr:row>
      <xdr:rowOff>22860</xdr:rowOff>
    </xdr:from>
    <xdr:to>
      <xdr:col>16</xdr:col>
      <xdr:colOff>358140</xdr:colOff>
      <xdr:row>39</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15240</xdr:colOff>
      <xdr:row>7</xdr:row>
      <xdr:rowOff>175260</xdr:rowOff>
    </xdr:from>
    <xdr:to>
      <xdr:col>12</xdr:col>
      <xdr:colOff>320040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228600</xdr:colOff>
      <xdr:row>3</xdr:row>
      <xdr:rowOff>171450</xdr:rowOff>
    </xdr:from>
    <xdr:to>
      <xdr:col>11</xdr:col>
      <xdr:colOff>533400</xdr:colOff>
      <xdr:row>18</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335280</xdr:colOff>
      <xdr:row>4</xdr:row>
      <xdr:rowOff>7620</xdr:rowOff>
    </xdr:from>
    <xdr:to>
      <xdr:col>18</xdr:col>
      <xdr:colOff>297180</xdr:colOff>
      <xdr:row>23</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396240</xdr:colOff>
      <xdr:row>2</xdr:row>
      <xdr:rowOff>175260</xdr:rowOff>
    </xdr:from>
    <xdr:to>
      <xdr:col>6</xdr:col>
      <xdr:colOff>601980</xdr:colOff>
      <xdr:row>22</xdr:row>
      <xdr:rowOff>99060</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86100" y="541020"/>
              <a:ext cx="2034540" cy="358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3</xdr:row>
      <xdr:rowOff>15241</xdr:rowOff>
    </xdr:from>
    <xdr:to>
      <xdr:col>10</xdr:col>
      <xdr:colOff>144780</xdr:colOff>
      <xdr:row>9</xdr:row>
      <xdr:rowOff>53341</xdr:rowOff>
    </xdr:to>
    <mc:AlternateContent xmlns:mc="http://schemas.openxmlformats.org/markup-compatibility/2006" xmlns:a14="http://schemas.microsoft.com/office/drawing/2010/main">
      <mc:Choice Requires="a14">
        <xdr:graphicFrame macro="">
          <xdr:nvGraphicFramePr>
            <xdr:cNvPr id="3" name="Statues"/>
            <xdr:cNvGraphicFramePr/>
          </xdr:nvGraphicFramePr>
          <xdr:xfrm>
            <a:off x="0" y="0"/>
            <a:ext cx="0" cy="0"/>
          </xdr:xfrm>
          <a:graphic>
            <a:graphicData uri="http://schemas.microsoft.com/office/drawing/2010/slicer">
              <sle:slicer xmlns:sle="http://schemas.microsoft.com/office/drawing/2010/slicer" name="Statues"/>
            </a:graphicData>
          </a:graphic>
        </xdr:graphicFrame>
      </mc:Choice>
      <mc:Fallback xmlns="">
        <xdr:sp macro="" textlink="">
          <xdr:nvSpPr>
            <xdr:cNvPr id="0" name=""/>
            <xdr:cNvSpPr>
              <a:spLocks noTextEdit="1"/>
            </xdr:cNvSpPr>
          </xdr:nvSpPr>
          <xdr:spPr>
            <a:xfrm>
              <a:off x="5273040" y="56388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3</xdr:row>
      <xdr:rowOff>0</xdr:rowOff>
    </xdr:from>
    <xdr:to>
      <xdr:col>16</xdr:col>
      <xdr:colOff>15240</xdr:colOff>
      <xdr:row>11</xdr:row>
      <xdr:rowOff>91440</xdr:rowOff>
    </xdr:to>
    <mc:AlternateContent xmlns:mc="http://schemas.openxmlformats.org/markup-compatibility/2006" xmlns:tsle="http://schemas.microsoft.com/office/drawing/2012/timeslicer">
      <mc:Choice Requires="tsle">
        <xdr:graphicFrame macro="">
          <xdr:nvGraphicFramePr>
            <xdr:cNvPr id="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292340" y="548640"/>
              <a:ext cx="3337560" cy="1554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114300</xdr:colOff>
      <xdr:row>12</xdr:row>
      <xdr:rowOff>30480</xdr:rowOff>
    </xdr:from>
    <xdr:to>
      <xdr:col>14</xdr:col>
      <xdr:colOff>419100</xdr:colOff>
      <xdr:row>27</xdr:row>
      <xdr:rowOff>30480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121920</xdr:colOff>
      <xdr:row>2</xdr:row>
      <xdr:rowOff>99060</xdr:rowOff>
    </xdr:from>
    <xdr:to>
      <xdr:col>23</xdr:col>
      <xdr:colOff>426720</xdr:colOff>
      <xdr:row>17</xdr:row>
      <xdr:rowOff>99060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28</xdr:row>
      <xdr:rowOff>76200</xdr:rowOff>
    </xdr:from>
    <xdr:to>
      <xdr:col>17</xdr:col>
      <xdr:colOff>350520</xdr:colOff>
      <xdr:row>45</xdr:row>
      <xdr:rowOff>22860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60960</xdr:colOff>
      <xdr:row>28</xdr:row>
      <xdr:rowOff>121921</xdr:rowOff>
    </xdr:from>
    <xdr:to>
      <xdr:col>3</xdr:col>
      <xdr:colOff>68580</xdr:colOff>
      <xdr:row>39</xdr:row>
      <xdr:rowOff>45721</xdr:rowOff>
    </xdr:to>
    <mc:AlternateContent xmlns:mc="http://schemas.openxmlformats.org/markup-compatibility/2006" xmlns:a14="http://schemas.microsoft.com/office/drawing/2010/main">
      <mc:Choice Requires="a14">
        <xdr:graphicFrame macro="">
          <xdr:nvGraphicFramePr>
            <xdr:cNvPr id="10"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29640" y="5242561"/>
              <a:ext cx="18288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9</xdr:col>
      <xdr:colOff>0</xdr:colOff>
      <xdr:row>27</xdr:row>
      <xdr:rowOff>0</xdr:rowOff>
    </xdr:from>
    <xdr:to>
      <xdr:col>15</xdr:col>
      <xdr:colOff>472440</xdr:colOff>
      <xdr:row>41</xdr:row>
      <xdr:rowOff>144780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hree" refreshedDate="46058.534452083331" createdVersion="5" refreshedVersion="5" minRefreshableVersion="3" recordCount="200">
  <cacheSource type="worksheet">
    <worksheetSource ref="A1:R201" sheet="DataBase"/>
  </cacheSource>
  <cacheFields count="17">
    <cacheField name="Order-ID" numFmtId="0">
      <sharedItems/>
    </cacheField>
    <cacheField name="Order Date" numFmtId="14">
      <sharedItems containsSemiMixedTypes="0" containsNonDate="0" containsDate="1" containsString="0" minDate="2020-01-14T00:00:00" maxDate="2025-12-23T00:00:00" count="186">
        <d v="2024-08-31T00:00:00"/>
        <d v="2023-11-21T00:00:00"/>
        <d v="2025-05-04T00:00:00"/>
        <d v="2024-10-31T00:00:00"/>
        <d v="2024-11-10T00:00:00"/>
        <d v="2022-05-18T00:00:00"/>
        <d v="2023-04-25T00:00:00"/>
        <d v="2022-03-14T00:00:00"/>
        <d v="2023-06-27T00:00:00"/>
        <d v="2023-11-06T00:00:00"/>
        <d v="2023-01-11T00:00:00"/>
        <d v="2020-09-25T00:00:00"/>
        <d v="2022-05-08T00:00:00"/>
        <d v="2024-07-23T00:00:00"/>
        <d v="2023-08-12T00:00:00"/>
        <d v="2024-01-10T00:00:00"/>
        <d v="2024-07-30T00:00:00"/>
        <d v="2021-01-09T00:00:00"/>
        <d v="2025-08-23T00:00:00"/>
        <d v="2022-10-21T00:00:00"/>
        <d v="2024-06-01T00:00:00"/>
        <d v="2021-04-08T00:00:00"/>
        <d v="2025-05-20T00:00:00"/>
        <d v="2025-09-03T00:00:00"/>
        <d v="2021-12-17T00:00:00"/>
        <d v="2023-06-24T00:00:00"/>
        <d v="2020-06-16T00:00:00"/>
        <d v="2023-10-03T00:00:00"/>
        <d v="2025-08-10T00:00:00"/>
        <d v="2022-02-05T00:00:00"/>
        <d v="2024-12-08T00:00:00"/>
        <d v="2025-02-20T00:00:00"/>
        <d v="2023-02-24T00:00:00"/>
        <d v="2021-09-12T00:00:00"/>
        <d v="2022-08-19T00:00:00"/>
        <d v="2025-12-22T00:00:00"/>
        <d v="2023-03-11T00:00:00"/>
        <d v="2025-01-16T00:00:00"/>
        <d v="2022-05-11T00:00:00"/>
        <d v="2023-11-10T00:00:00"/>
        <d v="2022-02-26T00:00:00"/>
        <d v="2024-06-04T00:00:00"/>
        <d v="2021-03-22T00:00:00"/>
        <d v="2025-04-25T00:00:00"/>
        <d v="2025-09-22T00:00:00"/>
        <d v="2021-11-02T00:00:00"/>
        <d v="2022-02-08T00:00:00"/>
        <d v="2023-07-20T00:00:00"/>
        <d v="2020-06-20T00:00:00"/>
        <d v="2020-10-13T00:00:00"/>
        <d v="2023-07-28T00:00:00"/>
        <d v="2023-05-28T00:00:00"/>
        <d v="2022-03-15T00:00:00"/>
        <d v="2025-08-31T00:00:00"/>
        <d v="2023-10-15T00:00:00"/>
        <d v="2022-10-11T00:00:00"/>
        <d v="2021-12-11T00:00:00"/>
        <d v="2025-06-01T00:00:00"/>
        <d v="2021-07-30T00:00:00"/>
        <d v="2025-03-05T00:00:00"/>
        <d v="2021-01-15T00:00:00"/>
        <d v="2024-12-04T00:00:00"/>
        <d v="2025-04-03T00:00:00"/>
        <d v="2022-12-14T00:00:00"/>
        <d v="2024-09-28T00:00:00"/>
        <d v="2022-01-29T00:00:00"/>
        <d v="2021-10-22T00:00:00"/>
        <d v="2024-06-15T00:00:00"/>
        <d v="2021-06-07T00:00:00"/>
        <d v="2025-06-15T00:00:00"/>
        <d v="2024-02-12T00:00:00"/>
        <d v="2021-04-11T00:00:00"/>
        <d v="2025-04-14T00:00:00"/>
        <d v="2023-03-22T00:00:00"/>
        <d v="2024-11-30T00:00:00"/>
        <d v="2023-01-29T00:00:00"/>
        <d v="2023-05-01T00:00:00"/>
        <d v="2025-01-29T00:00:00"/>
        <d v="2024-01-17T00:00:00"/>
        <d v="2022-10-29T00:00:00"/>
        <d v="2023-07-30T00:00:00"/>
        <d v="2023-11-29T00:00:00"/>
        <d v="2021-06-03T00:00:00"/>
        <d v="2025-12-15T00:00:00"/>
        <d v="2020-12-28T00:00:00"/>
        <d v="2022-06-02T00:00:00"/>
        <d v="2021-03-10T00:00:00"/>
        <d v="2022-04-21T00:00:00"/>
        <d v="2022-09-05T00:00:00"/>
        <d v="2023-06-21T00:00:00"/>
        <d v="2023-03-07T00:00:00"/>
        <d v="2020-01-14T00:00:00"/>
        <d v="2025-08-26T00:00:00"/>
        <d v="2021-05-26T00:00:00"/>
        <d v="2023-11-28T00:00:00"/>
        <d v="2024-04-14T00:00:00"/>
        <d v="2023-09-16T00:00:00"/>
        <d v="2020-02-28T00:00:00"/>
        <d v="2024-11-02T00:00:00"/>
        <d v="2025-11-18T00:00:00"/>
        <d v="2020-08-24T00:00:00"/>
        <d v="2020-09-05T00:00:00"/>
        <d v="2023-10-21T00:00:00"/>
        <d v="2022-04-29T00:00:00"/>
        <d v="2025-08-20T00:00:00"/>
        <d v="2020-08-13T00:00:00"/>
        <d v="2022-08-22T00:00:00"/>
        <d v="2024-03-05T00:00:00"/>
        <d v="2024-12-03T00:00:00"/>
        <d v="2022-01-18T00:00:00"/>
        <d v="2021-04-28T00:00:00"/>
        <d v="2023-08-08T00:00:00"/>
        <d v="2020-04-04T00:00:00"/>
        <d v="2023-06-17T00:00:00"/>
        <d v="2022-04-15T00:00:00"/>
        <d v="2023-08-25T00:00:00"/>
        <d v="2020-05-18T00:00:00"/>
        <d v="2020-04-03T00:00:00"/>
        <d v="2025-05-12T00:00:00"/>
        <d v="2021-03-18T00:00:00"/>
        <d v="2025-10-12T00:00:00"/>
        <d v="2022-08-12T00:00:00"/>
        <d v="2022-11-07T00:00:00"/>
        <d v="2023-09-28T00:00:00"/>
        <d v="2020-01-29T00:00:00"/>
        <d v="2024-06-03T00:00:00"/>
        <d v="2021-01-28T00:00:00"/>
        <d v="2025-12-03T00:00:00"/>
        <d v="2025-10-25T00:00:00"/>
        <d v="2024-02-28T00:00:00"/>
        <d v="2020-02-07T00:00:00"/>
        <d v="2024-02-03T00:00:00"/>
        <d v="2025-10-30T00:00:00"/>
        <d v="2021-04-14T00:00:00"/>
        <d v="2025-05-23T00:00:00"/>
        <d v="2021-12-07T00:00:00"/>
        <d v="2021-01-27T00:00:00"/>
        <d v="2023-04-12T00:00:00"/>
        <d v="2022-12-17T00:00:00"/>
        <d v="2020-02-23T00:00:00"/>
        <d v="2020-08-21T00:00:00"/>
        <d v="2021-01-11T00:00:00"/>
        <d v="2021-08-16T00:00:00"/>
        <d v="2024-07-14T00:00:00"/>
        <d v="2023-09-01T00:00:00"/>
        <d v="2025-09-27T00:00:00"/>
        <d v="2022-08-13T00:00:00"/>
        <d v="2020-05-14T00:00:00"/>
        <d v="2022-06-08T00:00:00"/>
        <d v="2025-06-10T00:00:00"/>
        <d v="2022-12-24T00:00:00"/>
        <d v="2021-06-30T00:00:00"/>
        <d v="2023-05-26T00:00:00"/>
        <d v="2025-09-25T00:00:00"/>
        <d v="2022-04-30T00:00:00"/>
        <d v="2025-10-06T00:00:00"/>
        <d v="2020-11-12T00:00:00"/>
        <d v="2023-02-13T00:00:00"/>
        <d v="2023-02-21T00:00:00"/>
        <d v="2020-05-26T00:00:00"/>
        <d v="2022-08-07T00:00:00"/>
        <d v="2022-09-15T00:00:00"/>
        <d v="2021-07-27T00:00:00"/>
        <d v="2024-04-10T00:00:00"/>
        <d v="2020-10-04T00:00:00"/>
        <d v="2021-10-18T00:00:00"/>
        <d v="2024-03-02T00:00:00"/>
        <d v="2024-05-04T00:00:00"/>
        <d v="2022-09-29T00:00:00"/>
        <d v="2020-07-30T00:00:00"/>
        <d v="2020-02-25T00:00:00"/>
        <d v="2020-08-05T00:00:00"/>
        <d v="2021-04-10T00:00:00"/>
        <d v="2024-06-26T00:00:00"/>
        <d v="2020-04-15T00:00:00"/>
        <d v="2021-11-21T00:00:00"/>
        <d v="2023-10-27T00:00:00"/>
        <d v="2020-09-15T00:00:00"/>
        <d v="2021-04-24T00:00:00"/>
        <d v="2024-04-01T00:00:00"/>
        <d v="2022-11-17T00:00:00"/>
        <d v="2021-12-02T00:00:00"/>
        <d v="2025-08-19T00:00:00"/>
        <d v="2021-10-03T00:00:00"/>
        <d v="2022-07-24T00:00:00"/>
        <d v="2025-05-18T00:00:00"/>
      </sharedItems>
    </cacheField>
    <cacheField name="Region" numFmtId="0">
      <sharedItems containsBlank="1" count="5">
        <s v="South"/>
        <s v="West"/>
        <s v="East"/>
        <s v="North"/>
        <m/>
      </sharedItems>
    </cacheField>
    <cacheField name="SalesPerson" numFmtId="0">
      <sharedItems/>
    </cacheField>
    <cacheField name="Product" numFmtId="0">
      <sharedItems/>
    </cacheField>
    <cacheField name="Category" numFmtId="0">
      <sharedItems count="13">
        <s v="Dairy  "/>
        <s v="Beverages  "/>
        <s v="Produce  "/>
        <s v="(dal) Pulses "/>
        <s v="Snacks  "/>
        <s v="Staples  "/>
        <s v="HouseUse  "/>
        <s v="Personal Care "/>
        <s v="oil Edible Oils"/>
        <s v="Grains  "/>
        <s v="flour Grains "/>
        <s v="Bekery  "/>
        <e v="#REF!"/>
      </sharedItems>
    </cacheField>
    <cacheField name="Units Sold" numFmtId="0">
      <sharedItems containsSemiMixedTypes="0" containsString="0" containsNumber="1" containsInteger="1" minValue="1" maxValue="10"/>
    </cacheField>
    <cacheField name="Cost per Unit" numFmtId="0">
      <sharedItems containsSemiMixedTypes="0" containsString="0" containsNumber="1" containsInteger="1" minValue="1500" maxValue="35000"/>
    </cacheField>
    <cacheField name="Selling Price" numFmtId="0">
      <sharedItems containsSemiMixedTypes="0" containsString="0" containsNumber="1" containsInteger="1" minValue="3000" maxValue="52000" count="5">
        <n v="18000"/>
        <n v="10000"/>
        <n v="30000"/>
        <n v="52000"/>
        <n v="3000"/>
      </sharedItems>
    </cacheField>
    <cacheField name="Total Cost" numFmtId="0">
      <sharedItems containsSemiMixedTypes="0" containsString="0" containsNumber="1" containsInteger="1" minValue="1500" maxValue="350000"/>
    </cacheField>
    <cacheField name="Revenue" numFmtId="0">
      <sharedItems containsSemiMixedTypes="0" containsString="0" containsNumber="1" containsInteger="1" minValue="3000" maxValue="520000" count="43">
        <n v="126000"/>
        <n v="72000"/>
        <n v="20000"/>
        <n v="108000"/>
        <n v="60000"/>
        <n v="100000"/>
        <n v="312000"/>
        <n v="260000"/>
        <n v="6000"/>
        <n v="364000"/>
        <n v="90000"/>
        <n v="156000"/>
        <n v="9000"/>
        <n v="270000"/>
        <n v="210000"/>
        <n v="21000"/>
        <n v="150000"/>
        <n v="18000"/>
        <n v="3000"/>
        <n v="27000"/>
        <n v="300000"/>
        <n v="10000"/>
        <n v="36000"/>
        <n v="208000"/>
        <n v="24000"/>
        <n v="40000"/>
        <n v="30000"/>
        <n v="15000"/>
        <n v="416000"/>
        <n v="54000"/>
        <n v="120000"/>
        <n v="104000"/>
        <n v="180000"/>
        <n v="520000"/>
        <n v="50000"/>
        <n v="52000"/>
        <n v="468000"/>
        <n v="80000"/>
        <n v="240000"/>
        <n v="162000"/>
        <n v="12000"/>
        <n v="70000"/>
        <n v="144000"/>
      </sharedItems>
    </cacheField>
    <cacheField name="Profit" numFmtId="0">
      <sharedItems containsSemiMixedTypes="0" containsString="0" containsNumber="1" containsInteger="1" minValue="1500" maxValue="170000"/>
    </cacheField>
    <cacheField name="Month" numFmtId="0">
      <sharedItems containsSemiMixedTypes="0" containsString="0" containsNumber="1" containsInteger="1" minValue="1" maxValue="12" count="12">
        <n v="8"/>
        <n v="11"/>
        <n v="5"/>
        <n v="10"/>
        <n v="4"/>
        <n v="3"/>
        <n v="6"/>
        <n v="1"/>
        <n v="9"/>
        <n v="7"/>
        <n v="12"/>
        <n v="2"/>
      </sharedItems>
    </cacheField>
    <cacheField name="year" numFmtId="0">
      <sharedItems containsSemiMixedTypes="0" containsString="0" containsNumber="1" containsInteger="1" minValue="2020" maxValue="2025" count="6">
        <n v="2024"/>
        <n v="2023"/>
        <n v="2025"/>
        <n v="2022"/>
        <n v="2020"/>
        <n v="2021"/>
      </sharedItems>
    </cacheField>
    <cacheField name="Quarter" numFmtId="0">
      <sharedItems count="4">
        <s v="Q3"/>
        <s v="Q4"/>
        <s v="Q2"/>
        <s v="Q1"/>
      </sharedItems>
    </cacheField>
    <cacheField name="Profit Status" numFmtId="0">
      <sharedItems count="1">
        <s v="Profit"/>
      </sharedItems>
    </cacheField>
    <cacheField name="High Performer"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hree" refreshedDate="46063.647220486113" createdVersion="5" refreshedVersion="5" minRefreshableVersion="3" recordCount="200">
  <cacheSource type="worksheet">
    <worksheetSource ref="A1:S201" sheet="DataBase"/>
  </cacheSource>
  <cacheFields count="21">
    <cacheField name="Order-ID" numFmtId="0">
      <sharedItems/>
    </cacheField>
    <cacheField name="Order Date" numFmtId="14">
      <sharedItems containsSemiMixedTypes="0" containsNonDate="0" containsDate="1" containsString="0" minDate="2020-01-14T00:00:00" maxDate="2025-12-23T00:00:00" count="186">
        <d v="2024-08-31T00:00:00"/>
        <d v="2023-11-21T00:00:00"/>
        <d v="2025-05-04T00:00:00"/>
        <d v="2024-10-31T00:00:00"/>
        <d v="2024-11-10T00:00:00"/>
        <d v="2022-05-18T00:00:00"/>
        <d v="2023-04-25T00:00:00"/>
        <d v="2022-03-14T00:00:00"/>
        <d v="2023-06-27T00:00:00"/>
        <d v="2023-11-06T00:00:00"/>
        <d v="2023-01-11T00:00:00"/>
        <d v="2020-09-25T00:00:00"/>
        <d v="2022-05-08T00:00:00"/>
        <d v="2024-07-23T00:00:00"/>
        <d v="2023-08-12T00:00:00"/>
        <d v="2024-01-10T00:00:00"/>
        <d v="2024-07-30T00:00:00"/>
        <d v="2021-01-09T00:00:00"/>
        <d v="2025-08-23T00:00:00"/>
        <d v="2022-10-21T00:00:00"/>
        <d v="2024-06-01T00:00:00"/>
        <d v="2021-04-08T00:00:00"/>
        <d v="2025-05-20T00:00:00"/>
        <d v="2025-09-03T00:00:00"/>
        <d v="2021-12-17T00:00:00"/>
        <d v="2023-06-24T00:00:00"/>
        <d v="2020-06-16T00:00:00"/>
        <d v="2023-10-03T00:00:00"/>
        <d v="2025-08-10T00:00:00"/>
        <d v="2022-02-05T00:00:00"/>
        <d v="2024-12-08T00:00:00"/>
        <d v="2025-02-20T00:00:00"/>
        <d v="2023-02-24T00:00:00"/>
        <d v="2021-09-12T00:00:00"/>
        <d v="2022-08-19T00:00:00"/>
        <d v="2025-12-22T00:00:00"/>
        <d v="2023-03-11T00:00:00"/>
        <d v="2025-01-16T00:00:00"/>
        <d v="2022-05-11T00:00:00"/>
        <d v="2023-11-10T00:00:00"/>
        <d v="2022-02-26T00:00:00"/>
        <d v="2024-06-04T00:00:00"/>
        <d v="2021-03-22T00:00:00"/>
        <d v="2025-04-25T00:00:00"/>
        <d v="2025-09-22T00:00:00"/>
        <d v="2021-11-02T00:00:00"/>
        <d v="2022-02-08T00:00:00"/>
        <d v="2023-07-20T00:00:00"/>
        <d v="2020-06-20T00:00:00"/>
        <d v="2020-10-13T00:00:00"/>
        <d v="2023-07-28T00:00:00"/>
        <d v="2023-05-28T00:00:00"/>
        <d v="2022-03-15T00:00:00"/>
        <d v="2025-08-31T00:00:00"/>
        <d v="2023-10-15T00:00:00"/>
        <d v="2022-10-11T00:00:00"/>
        <d v="2021-12-11T00:00:00"/>
        <d v="2025-06-01T00:00:00"/>
        <d v="2021-07-30T00:00:00"/>
        <d v="2025-03-05T00:00:00"/>
        <d v="2021-01-15T00:00:00"/>
        <d v="2024-12-04T00:00:00"/>
        <d v="2025-04-03T00:00:00"/>
        <d v="2022-12-14T00:00:00"/>
        <d v="2024-09-28T00:00:00"/>
        <d v="2022-01-29T00:00:00"/>
        <d v="2021-10-22T00:00:00"/>
        <d v="2024-06-15T00:00:00"/>
        <d v="2021-06-07T00:00:00"/>
        <d v="2025-06-15T00:00:00"/>
        <d v="2024-02-12T00:00:00"/>
        <d v="2021-04-11T00:00:00"/>
        <d v="2025-04-14T00:00:00"/>
        <d v="2023-03-22T00:00:00"/>
        <d v="2024-11-30T00:00:00"/>
        <d v="2023-01-29T00:00:00"/>
        <d v="2023-05-01T00:00:00"/>
        <d v="2025-01-29T00:00:00"/>
        <d v="2024-01-17T00:00:00"/>
        <d v="2022-10-29T00:00:00"/>
        <d v="2023-07-30T00:00:00"/>
        <d v="2023-11-29T00:00:00"/>
        <d v="2021-06-03T00:00:00"/>
        <d v="2025-12-15T00:00:00"/>
        <d v="2020-12-28T00:00:00"/>
        <d v="2022-06-02T00:00:00"/>
        <d v="2021-03-10T00:00:00"/>
        <d v="2022-04-21T00:00:00"/>
        <d v="2022-09-05T00:00:00"/>
        <d v="2023-06-21T00:00:00"/>
        <d v="2023-03-07T00:00:00"/>
        <d v="2020-01-14T00:00:00"/>
        <d v="2025-08-26T00:00:00"/>
        <d v="2021-05-26T00:00:00"/>
        <d v="2023-11-28T00:00:00"/>
        <d v="2024-04-14T00:00:00"/>
        <d v="2023-09-16T00:00:00"/>
        <d v="2020-02-28T00:00:00"/>
        <d v="2024-11-02T00:00:00"/>
        <d v="2025-11-18T00:00:00"/>
        <d v="2020-08-24T00:00:00"/>
        <d v="2020-09-05T00:00:00"/>
        <d v="2023-10-21T00:00:00"/>
        <d v="2022-04-29T00:00:00"/>
        <d v="2025-08-20T00:00:00"/>
        <d v="2020-08-13T00:00:00"/>
        <d v="2022-08-22T00:00:00"/>
        <d v="2024-03-05T00:00:00"/>
        <d v="2024-12-03T00:00:00"/>
        <d v="2022-01-18T00:00:00"/>
        <d v="2021-04-28T00:00:00"/>
        <d v="2023-08-08T00:00:00"/>
        <d v="2020-04-04T00:00:00"/>
        <d v="2023-06-17T00:00:00"/>
        <d v="2022-04-15T00:00:00"/>
        <d v="2023-08-25T00:00:00"/>
        <d v="2020-05-18T00:00:00"/>
        <d v="2020-04-03T00:00:00"/>
        <d v="2025-05-12T00:00:00"/>
        <d v="2021-03-18T00:00:00"/>
        <d v="2025-10-12T00:00:00"/>
        <d v="2022-08-12T00:00:00"/>
        <d v="2022-11-07T00:00:00"/>
        <d v="2023-09-28T00:00:00"/>
        <d v="2020-01-29T00:00:00"/>
        <d v="2024-06-03T00:00:00"/>
        <d v="2021-01-28T00:00:00"/>
        <d v="2025-12-03T00:00:00"/>
        <d v="2025-10-25T00:00:00"/>
        <d v="2024-02-28T00:00:00"/>
        <d v="2020-02-07T00:00:00"/>
        <d v="2024-02-03T00:00:00"/>
        <d v="2025-10-30T00:00:00"/>
        <d v="2021-04-14T00:00:00"/>
        <d v="2025-05-23T00:00:00"/>
        <d v="2021-12-07T00:00:00"/>
        <d v="2021-01-27T00:00:00"/>
        <d v="2023-04-12T00:00:00"/>
        <d v="2022-12-17T00:00:00"/>
        <d v="2020-02-23T00:00:00"/>
        <d v="2020-08-21T00:00:00"/>
        <d v="2021-01-11T00:00:00"/>
        <d v="2021-08-16T00:00:00"/>
        <d v="2024-07-14T00:00:00"/>
        <d v="2023-09-01T00:00:00"/>
        <d v="2025-09-27T00:00:00"/>
        <d v="2022-08-13T00:00:00"/>
        <d v="2020-05-14T00:00:00"/>
        <d v="2022-06-08T00:00:00"/>
        <d v="2025-06-10T00:00:00"/>
        <d v="2022-12-24T00:00:00"/>
        <d v="2021-06-30T00:00:00"/>
        <d v="2023-05-26T00:00:00"/>
        <d v="2025-09-25T00:00:00"/>
        <d v="2022-04-30T00:00:00"/>
        <d v="2025-10-06T00:00:00"/>
        <d v="2020-11-12T00:00:00"/>
        <d v="2023-02-13T00:00:00"/>
        <d v="2023-02-21T00:00:00"/>
        <d v="2020-05-26T00:00:00"/>
        <d v="2022-08-07T00:00:00"/>
        <d v="2022-09-15T00:00:00"/>
        <d v="2021-07-27T00:00:00"/>
        <d v="2024-04-10T00:00:00"/>
        <d v="2020-10-04T00:00:00"/>
        <d v="2021-10-18T00:00:00"/>
        <d v="2024-03-02T00:00:00"/>
        <d v="2024-05-04T00:00:00"/>
        <d v="2022-09-29T00:00:00"/>
        <d v="2020-07-30T00:00:00"/>
        <d v="2020-02-25T00:00:00"/>
        <d v="2020-08-05T00:00:00"/>
        <d v="2021-04-10T00:00:00"/>
        <d v="2024-06-26T00:00:00"/>
        <d v="2020-04-15T00:00:00"/>
        <d v="2021-11-21T00:00:00"/>
        <d v="2023-10-27T00:00:00"/>
        <d v="2020-09-15T00:00:00"/>
        <d v="2021-04-24T00:00:00"/>
        <d v="2024-04-01T00:00:00"/>
        <d v="2022-11-17T00:00:00"/>
        <d v="2021-12-02T00:00:00"/>
        <d v="2025-08-19T00:00:00"/>
        <d v="2021-10-03T00:00:00"/>
        <d v="2022-07-24T00:00:00"/>
        <d v="2025-05-18T00:00:00"/>
      </sharedItems>
    </cacheField>
    <cacheField name="Region" numFmtId="0">
      <sharedItems/>
    </cacheField>
    <cacheField name="SalesPerson" numFmtId="0">
      <sharedItems/>
    </cacheField>
    <cacheField name="Product" numFmtId="0">
      <sharedItems/>
    </cacheField>
    <cacheField name="Category" numFmtId="0">
      <sharedItems count="12">
        <s v="Dairy  "/>
        <s v="Beverages  "/>
        <s v="Produce  "/>
        <s v="(dal) Pulses "/>
        <s v="Snacks  "/>
        <s v="Staples  "/>
        <s v="HouseUse  "/>
        <s v="Personal Care "/>
        <s v="oil Edible Oils"/>
        <s v="Grains  "/>
        <s v="flour Grains "/>
        <s v="Bekery  "/>
      </sharedItems>
    </cacheField>
    <cacheField name="Units Sold" numFmtId="0">
      <sharedItems containsSemiMixedTypes="0" containsString="0" containsNumber="1" containsInteger="1" minValue="1" maxValue="10" count="10">
        <n v="7"/>
        <n v="4"/>
        <n v="2"/>
        <n v="6"/>
        <n v="10"/>
        <n v="5"/>
        <n v="9"/>
        <n v="3"/>
        <n v="1"/>
        <n v="8"/>
      </sharedItems>
    </cacheField>
    <cacheField name="Cost per Unit" numFmtId="0">
      <sharedItems containsSemiMixedTypes="0" containsString="0" containsNumber="1" containsInteger="1" minValue="1500" maxValue="35000"/>
    </cacheField>
    <cacheField name="Selling Price" numFmtId="0">
      <sharedItems containsSemiMixedTypes="0" containsString="0" containsNumber="1" containsInteger="1" minValue="3000" maxValue="52000" count="5">
        <n v="18000"/>
        <n v="10000"/>
        <n v="30000"/>
        <n v="52000"/>
        <n v="3000"/>
      </sharedItems>
    </cacheField>
    <cacheField name="Total Cost" numFmtId="0">
      <sharedItems containsSemiMixedTypes="0" containsString="0" containsNumber="1" containsInteger="1" minValue="1500" maxValue="350000"/>
    </cacheField>
    <cacheField name="Revenue" numFmtId="0">
      <sharedItems containsSemiMixedTypes="0" containsString="0" containsNumber="1" containsInteger="1" minValue="3000" maxValue="520000"/>
    </cacheField>
    <cacheField name="Month" numFmtId="0">
      <sharedItems containsSemiMixedTypes="0" containsString="0" containsNumber="1" containsInteger="1" minValue="1" maxValue="12" count="12">
        <n v="8"/>
        <n v="11"/>
        <n v="5"/>
        <n v="10"/>
        <n v="4"/>
        <n v="3"/>
        <n v="6"/>
        <n v="1"/>
        <n v="9"/>
        <n v="7"/>
        <n v="12"/>
        <n v="2"/>
      </sharedItems>
    </cacheField>
    <cacheField name="Profit" numFmtId="0">
      <sharedItems containsSemiMixedTypes="0" containsString="0" containsNumber="1" containsInteger="1" minValue="1500" maxValue="170000" count="41">
        <n v="42000"/>
        <n v="24000"/>
        <n v="8000"/>
        <n v="36000"/>
        <n v="20000"/>
        <n v="40000"/>
        <n v="102000"/>
        <n v="85000"/>
        <n v="3000"/>
        <n v="119000"/>
        <n v="51000"/>
        <n v="4500"/>
        <n v="90000"/>
        <n v="70000"/>
        <n v="10500"/>
        <n v="50000"/>
        <n v="6000"/>
        <n v="1500"/>
        <n v="13500"/>
        <n v="100000"/>
        <n v="4000"/>
        <n v="12000"/>
        <n v="68000"/>
        <n v="30000"/>
        <n v="16000"/>
        <n v="15000"/>
        <n v="7500"/>
        <n v="10000"/>
        <n v="136000"/>
        <n v="18000"/>
        <n v="34000"/>
        <n v="60000"/>
        <n v="9000"/>
        <n v="170000"/>
        <n v="17000"/>
        <n v="153000"/>
        <n v="32000"/>
        <n v="80000"/>
        <n v="54000"/>
        <n v="28000"/>
        <n v="48000"/>
      </sharedItems>
    </cacheField>
    <cacheField name="Month2" numFmtId="0">
      <sharedItems containsSemiMixedTypes="0" containsString="0" containsNumber="1" containsInteger="1" minValue="1" maxValue="12"/>
    </cacheField>
    <cacheField name="year" numFmtId="0">
      <sharedItems containsSemiMixedTypes="0" containsString="0" containsNumber="1" containsInteger="1" minValue="2020" maxValue="2025" count="6">
        <n v="2024"/>
        <n v="2023"/>
        <n v="2025"/>
        <n v="2022"/>
        <n v="2020"/>
        <n v="2021"/>
      </sharedItems>
    </cacheField>
    <cacheField name="Quarter" numFmtId="0">
      <sharedItems/>
    </cacheField>
    <cacheField name="Profit Status" numFmtId="0">
      <sharedItems count="1">
        <s v="Profit"/>
      </sharedItems>
    </cacheField>
    <cacheField name="High Performer" numFmtId="0">
      <sharedItems/>
    </cacheField>
    <cacheField name="Statues" numFmtId="0">
      <sharedItems count="3">
        <s v="Pending"/>
        <s v="Cancelled"/>
        <s v="Completed"/>
      </sharedItems>
    </cacheField>
    <cacheField name="Field1" numFmtId="0" formula="'Selling Price'/'Units Sold'" databaseField="0"/>
    <cacheField name="Average Revenue per Order" numFmtId="0" formula="'Selling Price'/'Units Sold'" databaseField="0"/>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shree" refreshedDate="46120.687544097222" createdVersion="5" refreshedVersion="5" minRefreshableVersion="3" recordCount="228">
  <cacheSource type="worksheet">
    <worksheetSource ref="A1:S1048576" sheet="DataBase"/>
  </cacheSource>
  <cacheFields count="19">
    <cacheField name="Order-ID" numFmtId="0">
      <sharedItems containsBlank="1"/>
    </cacheField>
    <cacheField name="Order Date" numFmtId="0">
      <sharedItems containsNonDate="0" containsDate="1" containsString="0" containsBlank="1" minDate="2020-01-14T00:00:00" maxDate="2025-12-23T00:00:00"/>
    </cacheField>
    <cacheField name="Region" numFmtId="0">
      <sharedItems containsBlank="1"/>
    </cacheField>
    <cacheField name="SalesPerson" numFmtId="0">
      <sharedItems containsBlank="1"/>
    </cacheField>
    <cacheField name="Product" numFmtId="0">
      <sharedItems containsBlank="1"/>
    </cacheField>
    <cacheField name="Category" numFmtId="0">
      <sharedItems containsBlank="1"/>
    </cacheField>
    <cacheField name="Units Sold" numFmtId="0">
      <sharedItems containsBlank="1" containsMixedTypes="1" containsNumber="1" containsInteger="1" minValue="1" maxValue="10"/>
    </cacheField>
    <cacheField name="Cost per Unit" numFmtId="0">
      <sharedItems containsBlank="1" containsMixedTypes="1" containsNumber="1" minValue="1500" maxValue="35000"/>
    </cacheField>
    <cacheField name="Selling Price" numFmtId="0">
      <sharedItems containsString="0" containsBlank="1" containsNumber="1" containsInteger="1" minValue="3000" maxValue="52000"/>
    </cacheField>
    <cacheField name="Total Cost" numFmtId="0">
      <sharedItems containsString="0" containsBlank="1" containsNumber="1" containsInteger="1" minValue="1500" maxValue="350000"/>
    </cacheField>
    <cacheField name="Revenue" numFmtId="0">
      <sharedItems containsBlank="1" containsMixedTypes="1" containsNumber="1" containsInteger="1" minValue="3000" maxValue="520000"/>
    </cacheField>
    <cacheField name="Month" numFmtId="0">
      <sharedItems containsBlank="1" containsMixedTypes="1" containsNumber="1" containsInteger="1" minValue="1" maxValue="6133000"/>
    </cacheField>
    <cacheField name="Profit" numFmtId="0">
      <sharedItems containsString="0" containsBlank="1" containsNumber="1" containsInteger="1" minValue="1500" maxValue="170000"/>
    </cacheField>
    <cacheField name="Month2" numFmtId="0">
      <sharedItems containsString="0" containsBlank="1" containsNumber="1" containsInteger="1" minValue="1" maxValue="12"/>
    </cacheField>
    <cacheField name="year" numFmtId="0">
      <sharedItems containsString="0" containsBlank="1" containsNumber="1" containsInteger="1" minValue="2020" maxValue="2025"/>
    </cacheField>
    <cacheField name="Quarter" numFmtId="0">
      <sharedItems containsBlank="1"/>
    </cacheField>
    <cacheField name="Profit Status" numFmtId="0">
      <sharedItems containsBlank="1" containsMixedTypes="1" containsNumber="1" containsInteger="1" minValue="0" maxValue="0"/>
    </cacheField>
    <cacheField name="High Performer" numFmtId="0">
      <sharedItems containsBlank="1"/>
    </cacheField>
    <cacheField name="Statu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s v="TI101"/>
    <x v="0"/>
    <x v="0"/>
    <s v="Kiran Thorat"/>
    <s v="Rice"/>
    <x v="0"/>
    <n v="7"/>
    <n v="12000"/>
    <x v="0"/>
    <n v="84000"/>
    <x v="0"/>
    <n v="42000"/>
    <x v="0"/>
    <x v="0"/>
    <x v="0"/>
    <x v="0"/>
    <s v="Top Seller"/>
  </r>
  <r>
    <s v="TI102"/>
    <x v="1"/>
    <x v="1"/>
    <s v="Maroti Bhise"/>
    <s v="Cheese"/>
    <x v="1"/>
    <n v="4"/>
    <n v="12000"/>
    <x v="0"/>
    <n v="48000"/>
    <x v="1"/>
    <n v="24000"/>
    <x v="1"/>
    <x v="1"/>
    <x v="1"/>
    <x v="0"/>
    <s v="Normal"/>
  </r>
  <r>
    <s v="TI103"/>
    <x v="2"/>
    <x v="2"/>
    <s v="Sachin Kale"/>
    <s v="Tea"/>
    <x v="2"/>
    <n v="2"/>
    <n v="6000"/>
    <x v="1"/>
    <n v="12000"/>
    <x v="2"/>
    <n v="8000"/>
    <x v="2"/>
    <x v="2"/>
    <x v="2"/>
    <x v="0"/>
    <s v="Top Seller"/>
  </r>
  <r>
    <s v="TI104"/>
    <x v="3"/>
    <x v="3"/>
    <s v="Satyam Dange"/>
    <s v="Eggs"/>
    <x v="1"/>
    <n v="6"/>
    <n v="12000"/>
    <x v="0"/>
    <n v="72000"/>
    <x v="3"/>
    <n v="36000"/>
    <x v="3"/>
    <x v="0"/>
    <x v="1"/>
    <x v="0"/>
    <s v="Top Seller"/>
  </r>
  <r>
    <s v="TI105"/>
    <x v="4"/>
    <x v="2"/>
    <s v="Ganesh Mali"/>
    <s v="Coffee"/>
    <x v="3"/>
    <n v="2"/>
    <n v="20000"/>
    <x v="2"/>
    <n v="40000"/>
    <x v="4"/>
    <n v="20000"/>
    <x v="1"/>
    <x v="0"/>
    <x v="1"/>
    <x v="0"/>
    <s v="Top Seller"/>
  </r>
  <r>
    <s v="TI106"/>
    <x v="5"/>
    <x v="0"/>
    <s v="Shivanad Butte"/>
    <s v="Lentils"/>
    <x v="2"/>
    <n v="4"/>
    <n v="12000"/>
    <x v="0"/>
    <n v="48000"/>
    <x v="1"/>
    <n v="24000"/>
    <x v="2"/>
    <x v="3"/>
    <x v="2"/>
    <x v="0"/>
    <s v="Top Seller"/>
  </r>
  <r>
    <s v="TI107"/>
    <x v="6"/>
    <x v="3"/>
    <s v="Raj Kinkar"/>
    <s v="Eggs"/>
    <x v="2"/>
    <n v="10"/>
    <n v="6000"/>
    <x v="1"/>
    <n v="60000"/>
    <x v="5"/>
    <n v="40000"/>
    <x v="4"/>
    <x v="1"/>
    <x v="2"/>
    <x v="0"/>
    <s v="Top Seller"/>
  </r>
  <r>
    <s v="TI108"/>
    <x v="7"/>
    <x v="1"/>
    <s v="Kondiba Mulgir"/>
    <s v="Fruits"/>
    <x v="2"/>
    <n v="6"/>
    <n v="35000"/>
    <x v="3"/>
    <n v="210000"/>
    <x v="6"/>
    <n v="102000"/>
    <x v="5"/>
    <x v="3"/>
    <x v="3"/>
    <x v="0"/>
    <s v="Top Seller"/>
  </r>
  <r>
    <s v="TI109"/>
    <x v="8"/>
    <x v="1"/>
    <s v="Sanket Jadhav"/>
    <s v="Vegetables"/>
    <x v="4"/>
    <n v="5"/>
    <n v="35000"/>
    <x v="3"/>
    <n v="175000"/>
    <x v="7"/>
    <n v="85000"/>
    <x v="6"/>
    <x v="1"/>
    <x v="2"/>
    <x v="0"/>
    <s v="Normal"/>
  </r>
  <r>
    <s v="TI110"/>
    <x v="9"/>
    <x v="3"/>
    <s v="Sundar Ingole"/>
    <s v="Biscuits"/>
    <x v="1"/>
    <n v="2"/>
    <n v="1500"/>
    <x v="4"/>
    <n v="3000"/>
    <x v="8"/>
    <n v="3000"/>
    <x v="1"/>
    <x v="1"/>
    <x v="1"/>
    <x v="0"/>
    <s v="Top Seller"/>
  </r>
  <r>
    <s v="TI111"/>
    <x v="10"/>
    <x v="2"/>
    <s v="Pradip Ingle"/>
    <s v="Coffee"/>
    <x v="2"/>
    <n v="7"/>
    <n v="35000"/>
    <x v="3"/>
    <n v="245000"/>
    <x v="9"/>
    <n v="119000"/>
    <x v="7"/>
    <x v="1"/>
    <x v="3"/>
    <x v="0"/>
    <s v="Top Seller"/>
  </r>
  <r>
    <s v="TI112"/>
    <x v="11"/>
    <x v="3"/>
    <s v="Kartik Tandle"/>
    <s v="Fruits"/>
    <x v="5"/>
    <n v="9"/>
    <n v="6000"/>
    <x v="1"/>
    <n v="54000"/>
    <x v="10"/>
    <n v="36000"/>
    <x v="8"/>
    <x v="4"/>
    <x v="0"/>
    <x v="0"/>
    <s v="Top Seller"/>
  </r>
  <r>
    <s v="TI113"/>
    <x v="12"/>
    <x v="0"/>
    <s v="Sneha Nirfhal"/>
    <s v="Salt"/>
    <x v="6"/>
    <n v="7"/>
    <n v="12000"/>
    <x v="0"/>
    <n v="84000"/>
    <x v="0"/>
    <n v="42000"/>
    <x v="2"/>
    <x v="3"/>
    <x v="2"/>
    <x v="0"/>
    <s v="Top Seller"/>
  </r>
  <r>
    <s v="TI114"/>
    <x v="13"/>
    <x v="1"/>
    <s v="Rutuja Pawar"/>
    <s v="Detergent"/>
    <x v="1"/>
    <n v="3"/>
    <n v="35000"/>
    <x v="3"/>
    <n v="105000"/>
    <x v="11"/>
    <n v="51000"/>
    <x v="9"/>
    <x v="0"/>
    <x v="0"/>
    <x v="0"/>
    <s v="Normal"/>
  </r>
  <r>
    <s v="TI115"/>
    <x v="14"/>
    <x v="1"/>
    <s v="Sakshi Jagtap"/>
    <s v="Tea"/>
    <x v="1"/>
    <n v="3"/>
    <n v="1500"/>
    <x v="4"/>
    <n v="4500"/>
    <x v="12"/>
    <n v="4500"/>
    <x v="0"/>
    <x v="1"/>
    <x v="0"/>
    <x v="0"/>
    <s v="Top Seller"/>
  </r>
  <r>
    <s v="TI116"/>
    <x v="15"/>
    <x v="1"/>
    <s v="Saloni Rahikar"/>
    <s v="Coffee"/>
    <x v="4"/>
    <n v="9"/>
    <n v="20000"/>
    <x v="2"/>
    <n v="180000"/>
    <x v="13"/>
    <n v="90000"/>
    <x v="7"/>
    <x v="0"/>
    <x v="3"/>
    <x v="0"/>
    <s v="Top Seller"/>
  </r>
  <r>
    <s v="TI117"/>
    <x v="16"/>
    <x v="1"/>
    <s v="Amruta Mane"/>
    <s v="Biscuits"/>
    <x v="7"/>
    <n v="7"/>
    <n v="20000"/>
    <x v="2"/>
    <n v="140000"/>
    <x v="14"/>
    <n v="70000"/>
    <x v="9"/>
    <x v="0"/>
    <x v="0"/>
    <x v="0"/>
    <s v="Normal"/>
  </r>
  <r>
    <s v="TI118"/>
    <x v="17"/>
    <x v="0"/>
    <s v="Mona Yede"/>
    <s v="Toothpaste"/>
    <x v="8"/>
    <n v="7"/>
    <n v="1500"/>
    <x v="4"/>
    <n v="10500"/>
    <x v="15"/>
    <n v="10500"/>
    <x v="7"/>
    <x v="5"/>
    <x v="3"/>
    <x v="0"/>
    <s v="Top Seller"/>
  </r>
  <r>
    <s v="TI119"/>
    <x v="18"/>
    <x v="3"/>
    <s v="Priynka Gaikwad"/>
    <s v="Cooking"/>
    <x v="5"/>
    <n v="5"/>
    <n v="20000"/>
    <x v="2"/>
    <n v="100000"/>
    <x v="16"/>
    <n v="50000"/>
    <x v="0"/>
    <x v="2"/>
    <x v="0"/>
    <x v="0"/>
    <s v="Normal"/>
  </r>
  <r>
    <s v="TI120"/>
    <x v="19"/>
    <x v="2"/>
    <s v="Sahil Bhole"/>
    <s v="Sugar"/>
    <x v="7"/>
    <n v="1"/>
    <n v="12000"/>
    <x v="0"/>
    <n v="12000"/>
    <x v="17"/>
    <n v="6000"/>
    <x v="3"/>
    <x v="3"/>
    <x v="1"/>
    <x v="0"/>
    <s v="Normal"/>
  </r>
  <r>
    <s v="TI121"/>
    <x v="20"/>
    <x v="1"/>
    <s v="Dinesh Ghule"/>
    <s v="Soap"/>
    <x v="0"/>
    <n v="1"/>
    <n v="1500"/>
    <x v="4"/>
    <n v="1500"/>
    <x v="18"/>
    <n v="1500"/>
    <x v="6"/>
    <x v="0"/>
    <x v="2"/>
    <x v="0"/>
    <s v="Normal"/>
  </r>
  <r>
    <s v="TI122"/>
    <x v="21"/>
    <x v="3"/>
    <s v="Ruchita Fartade"/>
    <s v="Cheese"/>
    <x v="3"/>
    <n v="9"/>
    <n v="1500"/>
    <x v="4"/>
    <n v="13500"/>
    <x v="19"/>
    <n v="13500"/>
    <x v="4"/>
    <x v="5"/>
    <x v="2"/>
    <x v="0"/>
    <s v="Top Seller"/>
  </r>
  <r>
    <s v="TI123"/>
    <x v="22"/>
    <x v="0"/>
    <s v="Asha Dhokar"/>
    <s v="Lentils"/>
    <x v="2"/>
    <n v="2"/>
    <n v="20000"/>
    <x v="2"/>
    <n v="40000"/>
    <x v="4"/>
    <n v="20000"/>
    <x v="2"/>
    <x v="2"/>
    <x v="2"/>
    <x v="0"/>
    <s v="Top Seller"/>
  </r>
  <r>
    <s v="TI124"/>
    <x v="23"/>
    <x v="2"/>
    <s v="Vaibhav Tayde"/>
    <s v="Vegetables"/>
    <x v="1"/>
    <n v="10"/>
    <n v="20000"/>
    <x v="2"/>
    <n v="200000"/>
    <x v="20"/>
    <n v="100000"/>
    <x v="8"/>
    <x v="2"/>
    <x v="0"/>
    <x v="0"/>
    <s v="Top Seller"/>
  </r>
  <r>
    <s v="TI125"/>
    <x v="24"/>
    <x v="1"/>
    <s v="Rohan Sawant"/>
    <s v="Coffee"/>
    <x v="2"/>
    <n v="7"/>
    <n v="12000"/>
    <x v="0"/>
    <n v="84000"/>
    <x v="0"/>
    <n v="42000"/>
    <x v="10"/>
    <x v="5"/>
    <x v="1"/>
    <x v="0"/>
    <s v="Normal"/>
  </r>
  <r>
    <s v="TI126"/>
    <x v="25"/>
    <x v="0"/>
    <s v="Karan Puri"/>
    <s v="Fruits"/>
    <x v="8"/>
    <n v="2"/>
    <n v="6000"/>
    <x v="1"/>
    <n v="12000"/>
    <x v="2"/>
    <n v="8000"/>
    <x v="6"/>
    <x v="1"/>
    <x v="2"/>
    <x v="0"/>
    <s v="Normal"/>
  </r>
  <r>
    <s v="TI127"/>
    <x v="26"/>
    <x v="3"/>
    <s v="Pradip Kinkar"/>
    <s v="Cooking"/>
    <x v="9"/>
    <n v="1"/>
    <n v="6000"/>
    <x v="1"/>
    <n v="6000"/>
    <x v="21"/>
    <n v="4000"/>
    <x v="6"/>
    <x v="4"/>
    <x v="2"/>
    <x v="0"/>
    <s v="Normal"/>
  </r>
  <r>
    <s v="TI128"/>
    <x v="27"/>
    <x v="3"/>
    <s v="Ganesh Gaikwad"/>
    <s v="Rice"/>
    <x v="6"/>
    <n v="2"/>
    <n v="12000"/>
    <x v="0"/>
    <n v="24000"/>
    <x v="22"/>
    <n v="12000"/>
    <x v="3"/>
    <x v="1"/>
    <x v="1"/>
    <x v="0"/>
    <s v="Top Seller"/>
  </r>
  <r>
    <s v="TI129"/>
    <x v="28"/>
    <x v="2"/>
    <s v="Maroti Jagtap"/>
    <s v="Detergent"/>
    <x v="7"/>
    <n v="9"/>
    <n v="6000"/>
    <x v="1"/>
    <n v="54000"/>
    <x v="10"/>
    <n v="36000"/>
    <x v="0"/>
    <x v="2"/>
    <x v="0"/>
    <x v="0"/>
    <s v="Top Seller"/>
  </r>
  <r>
    <s v="TI130"/>
    <x v="29"/>
    <x v="3"/>
    <s v="Ruchita Tandle"/>
    <s v="Toothpaste"/>
    <x v="0"/>
    <n v="4"/>
    <n v="35000"/>
    <x v="3"/>
    <n v="140000"/>
    <x v="23"/>
    <n v="68000"/>
    <x v="11"/>
    <x v="3"/>
    <x v="3"/>
    <x v="0"/>
    <s v="Top Seller"/>
  </r>
  <r>
    <s v="TI131"/>
    <x v="30"/>
    <x v="2"/>
    <s v="Rutuja Bhise"/>
    <s v="Cheese"/>
    <x v="7"/>
    <n v="10"/>
    <n v="20000"/>
    <x v="2"/>
    <n v="200000"/>
    <x v="20"/>
    <n v="100000"/>
    <x v="10"/>
    <x v="0"/>
    <x v="1"/>
    <x v="0"/>
    <s v="Normal"/>
  </r>
  <r>
    <s v="TI132"/>
    <x v="31"/>
    <x v="1"/>
    <s v="Ruchita Tayde"/>
    <s v="Toothpaste"/>
    <x v="2"/>
    <n v="8"/>
    <n v="1500"/>
    <x v="4"/>
    <n v="12000"/>
    <x v="24"/>
    <n v="12000"/>
    <x v="11"/>
    <x v="2"/>
    <x v="3"/>
    <x v="0"/>
    <s v="Top Seller"/>
  </r>
  <r>
    <s v="TI133"/>
    <x v="32"/>
    <x v="0"/>
    <s v="Mona Mane"/>
    <s v="Vegetables"/>
    <x v="9"/>
    <n v="5"/>
    <n v="12000"/>
    <x v="0"/>
    <n v="60000"/>
    <x v="10"/>
    <n v="30000"/>
    <x v="11"/>
    <x v="1"/>
    <x v="3"/>
    <x v="0"/>
    <s v="Top Seller"/>
  </r>
  <r>
    <s v="TI134"/>
    <x v="33"/>
    <x v="1"/>
    <s v="Dinesh Yede"/>
    <s v="Rice"/>
    <x v="0"/>
    <n v="4"/>
    <n v="12000"/>
    <x v="0"/>
    <n v="48000"/>
    <x v="1"/>
    <n v="24000"/>
    <x v="8"/>
    <x v="5"/>
    <x v="0"/>
    <x v="0"/>
    <s v="Normal"/>
  </r>
  <r>
    <s v="TI135"/>
    <x v="34"/>
    <x v="0"/>
    <s v="Priynka Rahikar"/>
    <s v="Milk"/>
    <x v="1"/>
    <n v="4"/>
    <n v="6000"/>
    <x v="1"/>
    <n v="24000"/>
    <x v="25"/>
    <n v="16000"/>
    <x v="0"/>
    <x v="3"/>
    <x v="0"/>
    <x v="0"/>
    <s v="Top Seller"/>
  </r>
  <r>
    <s v="TI136"/>
    <x v="35"/>
    <x v="1"/>
    <s v="Dinesh Tayde"/>
    <s v="Tea"/>
    <x v="1"/>
    <n v="3"/>
    <n v="35000"/>
    <x v="3"/>
    <n v="105000"/>
    <x v="11"/>
    <n v="51000"/>
    <x v="10"/>
    <x v="2"/>
    <x v="1"/>
    <x v="0"/>
    <s v="Normal"/>
  </r>
  <r>
    <s v="TI137"/>
    <x v="36"/>
    <x v="3"/>
    <s v="Sakshi Bhole"/>
    <s v="Tea"/>
    <x v="2"/>
    <n v="3"/>
    <n v="1500"/>
    <x v="4"/>
    <n v="4500"/>
    <x v="12"/>
    <n v="4500"/>
    <x v="5"/>
    <x v="1"/>
    <x v="3"/>
    <x v="0"/>
    <s v="Normal"/>
  </r>
  <r>
    <s v="TI138"/>
    <x v="37"/>
    <x v="0"/>
    <s v="Mona Dhokar"/>
    <s v="Fruits"/>
    <x v="7"/>
    <n v="10"/>
    <n v="1500"/>
    <x v="4"/>
    <n v="15000"/>
    <x v="26"/>
    <n v="15000"/>
    <x v="7"/>
    <x v="2"/>
    <x v="3"/>
    <x v="0"/>
    <s v="Top Seller"/>
  </r>
  <r>
    <s v="TI139"/>
    <x v="38"/>
    <x v="1"/>
    <s v="Sakshi Rahikar"/>
    <s v="Toothpaste"/>
    <x v="0"/>
    <n v="5"/>
    <n v="35000"/>
    <x v="3"/>
    <n v="175000"/>
    <x v="7"/>
    <n v="85000"/>
    <x v="2"/>
    <x v="3"/>
    <x v="2"/>
    <x v="0"/>
    <s v="Normal"/>
  </r>
  <r>
    <s v="TI140"/>
    <x v="39"/>
    <x v="1"/>
    <s v="Kiran Bhise"/>
    <s v="Butter"/>
    <x v="0"/>
    <n v="5"/>
    <n v="1500"/>
    <x v="4"/>
    <n v="7500"/>
    <x v="27"/>
    <n v="7500"/>
    <x v="1"/>
    <x v="1"/>
    <x v="1"/>
    <x v="0"/>
    <s v="Normal"/>
  </r>
  <r>
    <s v="TI141"/>
    <x v="40"/>
    <x v="2"/>
    <s v="Rutuja Ingle"/>
    <s v="Milk"/>
    <x v="7"/>
    <n v="1"/>
    <n v="20000"/>
    <x v="2"/>
    <n v="20000"/>
    <x v="26"/>
    <n v="10000"/>
    <x v="11"/>
    <x v="3"/>
    <x v="3"/>
    <x v="0"/>
    <s v="Top Seller"/>
  </r>
  <r>
    <s v="TI142"/>
    <x v="41"/>
    <x v="2"/>
    <s v="Vaibhav Yede"/>
    <s v="Shampoo"/>
    <x v="0"/>
    <n v="9"/>
    <n v="6000"/>
    <x v="1"/>
    <n v="54000"/>
    <x v="10"/>
    <n v="36000"/>
    <x v="6"/>
    <x v="0"/>
    <x v="2"/>
    <x v="0"/>
    <s v="Top Seller"/>
  </r>
  <r>
    <s v="TI143"/>
    <x v="42"/>
    <x v="0"/>
    <s v="Priynka Puri"/>
    <s v="Butter"/>
    <x v="5"/>
    <n v="8"/>
    <n v="35000"/>
    <x v="3"/>
    <n v="280000"/>
    <x v="28"/>
    <n v="136000"/>
    <x v="5"/>
    <x v="5"/>
    <x v="3"/>
    <x v="0"/>
    <s v="Top Seller"/>
  </r>
  <r>
    <s v="TI144"/>
    <x v="19"/>
    <x v="1"/>
    <s v="Ruchita Fartade"/>
    <s v="Sugar"/>
    <x v="7"/>
    <n v="10"/>
    <n v="6000"/>
    <x v="1"/>
    <n v="60000"/>
    <x v="5"/>
    <n v="40000"/>
    <x v="3"/>
    <x v="3"/>
    <x v="1"/>
    <x v="0"/>
    <s v="Top Seller"/>
  </r>
  <r>
    <s v="TI145"/>
    <x v="43"/>
    <x v="0"/>
    <s v="Raj Kinkar"/>
    <s v="Shampoo"/>
    <x v="2"/>
    <n v="3"/>
    <n v="12000"/>
    <x v="0"/>
    <n v="36000"/>
    <x v="29"/>
    <n v="18000"/>
    <x v="4"/>
    <x v="2"/>
    <x v="2"/>
    <x v="0"/>
    <s v="Top Seller"/>
  </r>
  <r>
    <s v="TI146"/>
    <x v="44"/>
    <x v="2"/>
    <s v="Ganesh Ghule"/>
    <s v="Fruits"/>
    <x v="5"/>
    <n v="6"/>
    <n v="6000"/>
    <x v="1"/>
    <n v="36000"/>
    <x v="4"/>
    <n v="24000"/>
    <x v="8"/>
    <x v="2"/>
    <x v="0"/>
    <x v="0"/>
    <s v="Normal"/>
  </r>
  <r>
    <s v="TI147"/>
    <x v="45"/>
    <x v="1"/>
    <s v="Maroti Mali"/>
    <s v="Sugar"/>
    <x v="2"/>
    <n v="8"/>
    <n v="1500"/>
    <x v="4"/>
    <n v="12000"/>
    <x v="24"/>
    <n v="12000"/>
    <x v="1"/>
    <x v="5"/>
    <x v="1"/>
    <x v="0"/>
    <s v="Top Seller"/>
  </r>
  <r>
    <s v="TI148"/>
    <x v="46"/>
    <x v="2"/>
    <s v="Vaibhav Mane"/>
    <s v="Vegetables"/>
    <x v="0"/>
    <n v="7"/>
    <n v="12000"/>
    <x v="0"/>
    <n v="84000"/>
    <x v="0"/>
    <n v="42000"/>
    <x v="11"/>
    <x v="3"/>
    <x v="3"/>
    <x v="0"/>
    <s v="Top Seller"/>
  </r>
  <r>
    <s v="TI149"/>
    <x v="47"/>
    <x v="3"/>
    <s v="Shivanad Sawant"/>
    <s v="Milk"/>
    <x v="7"/>
    <n v="6"/>
    <n v="6000"/>
    <x v="1"/>
    <n v="36000"/>
    <x v="4"/>
    <n v="24000"/>
    <x v="9"/>
    <x v="1"/>
    <x v="0"/>
    <x v="0"/>
    <s v="Normal"/>
  </r>
  <r>
    <s v="TI150"/>
    <x v="48"/>
    <x v="3"/>
    <s v="Sakshi Sawant"/>
    <s v="Soap"/>
    <x v="5"/>
    <n v="8"/>
    <n v="1500"/>
    <x v="4"/>
    <n v="12000"/>
    <x v="24"/>
    <n v="12000"/>
    <x v="6"/>
    <x v="4"/>
    <x v="2"/>
    <x v="0"/>
    <s v="Top Seller"/>
  </r>
  <r>
    <s v="TI151"/>
    <x v="49"/>
    <x v="0"/>
    <s v="Asha Tayde"/>
    <s v="Salt"/>
    <x v="10"/>
    <n v="4"/>
    <n v="20000"/>
    <x v="2"/>
    <n v="80000"/>
    <x v="30"/>
    <n v="40000"/>
    <x v="3"/>
    <x v="4"/>
    <x v="1"/>
    <x v="0"/>
    <s v="Top Seller"/>
  </r>
  <r>
    <s v="TI152"/>
    <x v="50"/>
    <x v="0"/>
    <s v="Amruta Dhokar"/>
    <s v="Wheat"/>
    <x v="7"/>
    <n v="5"/>
    <n v="20000"/>
    <x v="2"/>
    <n v="100000"/>
    <x v="16"/>
    <n v="50000"/>
    <x v="9"/>
    <x v="1"/>
    <x v="0"/>
    <x v="0"/>
    <s v="Normal"/>
  </r>
  <r>
    <s v="TI153"/>
    <x v="51"/>
    <x v="1"/>
    <s v="Karan Ingole"/>
    <s v="Shampoo"/>
    <x v="2"/>
    <n v="3"/>
    <n v="6000"/>
    <x v="1"/>
    <n v="18000"/>
    <x v="26"/>
    <n v="12000"/>
    <x v="2"/>
    <x v="1"/>
    <x v="2"/>
    <x v="0"/>
    <s v="Top Seller"/>
  </r>
  <r>
    <s v="TI154"/>
    <x v="52"/>
    <x v="0"/>
    <s v="Pradip Pawar"/>
    <s v="Fruits"/>
    <x v="8"/>
    <n v="8"/>
    <n v="35000"/>
    <x v="3"/>
    <n v="280000"/>
    <x v="28"/>
    <n v="136000"/>
    <x v="5"/>
    <x v="3"/>
    <x v="3"/>
    <x v="0"/>
    <s v="Top Seller"/>
  </r>
  <r>
    <s v="TI155"/>
    <x v="53"/>
    <x v="0"/>
    <s v="Dinesh Dhokar"/>
    <s v="Cooking"/>
    <x v="4"/>
    <n v="6"/>
    <n v="35000"/>
    <x v="3"/>
    <n v="210000"/>
    <x v="6"/>
    <n v="102000"/>
    <x v="0"/>
    <x v="2"/>
    <x v="0"/>
    <x v="0"/>
    <s v="Top Seller"/>
  </r>
  <r>
    <s v="TI156"/>
    <x v="54"/>
    <x v="2"/>
    <s v="Kondiba Kinkar"/>
    <s v="Biscuits"/>
    <x v="1"/>
    <n v="4"/>
    <n v="20000"/>
    <x v="2"/>
    <n v="80000"/>
    <x v="30"/>
    <n v="40000"/>
    <x v="3"/>
    <x v="1"/>
    <x v="1"/>
    <x v="0"/>
    <s v="Top Seller"/>
  </r>
  <r>
    <s v="TI157"/>
    <x v="55"/>
    <x v="0"/>
    <s v="Sachin Yede"/>
    <s v="Tea"/>
    <x v="7"/>
    <n v="2"/>
    <n v="35000"/>
    <x v="3"/>
    <n v="70000"/>
    <x v="31"/>
    <n v="34000"/>
    <x v="3"/>
    <x v="3"/>
    <x v="1"/>
    <x v="0"/>
    <s v="Top Seller"/>
  </r>
  <r>
    <s v="TI158"/>
    <x v="56"/>
    <x v="3"/>
    <s v="Ruchita Fartade"/>
    <s v="Toothpaste"/>
    <x v="1"/>
    <n v="10"/>
    <n v="12000"/>
    <x v="0"/>
    <n v="120000"/>
    <x v="32"/>
    <n v="60000"/>
    <x v="10"/>
    <x v="5"/>
    <x v="1"/>
    <x v="0"/>
    <s v="Normal"/>
  </r>
  <r>
    <s v="TI159"/>
    <x v="57"/>
    <x v="2"/>
    <s v="Shivanad Jagtap"/>
    <s v="Tea"/>
    <x v="0"/>
    <n v="6"/>
    <n v="1500"/>
    <x v="4"/>
    <n v="9000"/>
    <x v="17"/>
    <n v="9000"/>
    <x v="6"/>
    <x v="2"/>
    <x v="2"/>
    <x v="0"/>
    <s v="Top Seller"/>
  </r>
  <r>
    <s v="TI160"/>
    <x v="58"/>
    <x v="3"/>
    <s v="Sneha Jagtap"/>
    <s v="Butter"/>
    <x v="5"/>
    <n v="4"/>
    <n v="35000"/>
    <x v="3"/>
    <n v="140000"/>
    <x v="23"/>
    <n v="68000"/>
    <x v="9"/>
    <x v="5"/>
    <x v="0"/>
    <x v="0"/>
    <s v="Top Seller"/>
  </r>
  <r>
    <s v="TI161"/>
    <x v="59"/>
    <x v="3"/>
    <s v="Sneha Yede"/>
    <s v="Sugar"/>
    <x v="5"/>
    <n v="10"/>
    <n v="20000"/>
    <x v="2"/>
    <n v="200000"/>
    <x v="20"/>
    <n v="100000"/>
    <x v="5"/>
    <x v="2"/>
    <x v="3"/>
    <x v="0"/>
    <s v="Top Seller"/>
  </r>
  <r>
    <s v="TI162"/>
    <x v="60"/>
    <x v="0"/>
    <s v="Satyam Nirfhal"/>
    <s v="Salt"/>
    <x v="7"/>
    <n v="10"/>
    <n v="35000"/>
    <x v="3"/>
    <n v="350000"/>
    <x v="33"/>
    <n v="170000"/>
    <x v="7"/>
    <x v="5"/>
    <x v="3"/>
    <x v="0"/>
    <s v="Normal"/>
  </r>
  <r>
    <s v="TI163"/>
    <x v="61"/>
    <x v="2"/>
    <s v="Sneha Sawant"/>
    <s v="Soap"/>
    <x v="0"/>
    <n v="1"/>
    <n v="12000"/>
    <x v="0"/>
    <n v="12000"/>
    <x v="17"/>
    <n v="6000"/>
    <x v="10"/>
    <x v="0"/>
    <x v="1"/>
    <x v="0"/>
    <s v="Normal"/>
  </r>
  <r>
    <s v="TI164"/>
    <x v="62"/>
    <x v="0"/>
    <s v="Pradip Pawar"/>
    <s v="Cheese"/>
    <x v="7"/>
    <n v="5"/>
    <n v="6000"/>
    <x v="1"/>
    <n v="30000"/>
    <x v="34"/>
    <n v="20000"/>
    <x v="4"/>
    <x v="2"/>
    <x v="2"/>
    <x v="0"/>
    <s v="Top Seller"/>
  </r>
  <r>
    <s v="TI165"/>
    <x v="63"/>
    <x v="3"/>
    <s v="Kartik Jagtap"/>
    <s v="Soap"/>
    <x v="0"/>
    <n v="3"/>
    <n v="12000"/>
    <x v="0"/>
    <n v="36000"/>
    <x v="29"/>
    <n v="18000"/>
    <x v="10"/>
    <x v="3"/>
    <x v="1"/>
    <x v="0"/>
    <s v="Normal"/>
  </r>
  <r>
    <s v="TI166"/>
    <x v="64"/>
    <x v="3"/>
    <s v="Shivanad Mane"/>
    <s v="Butter"/>
    <x v="2"/>
    <n v="1"/>
    <n v="1500"/>
    <x v="4"/>
    <n v="1500"/>
    <x v="18"/>
    <n v="1500"/>
    <x v="8"/>
    <x v="0"/>
    <x v="0"/>
    <x v="0"/>
    <s v="Top Seller"/>
  </r>
  <r>
    <s v="TI167"/>
    <x v="65"/>
    <x v="3"/>
    <s v="Sundar Mulgir"/>
    <s v="Eggs"/>
    <x v="4"/>
    <n v="1"/>
    <n v="35000"/>
    <x v="3"/>
    <n v="35000"/>
    <x v="35"/>
    <n v="17000"/>
    <x v="7"/>
    <x v="3"/>
    <x v="3"/>
    <x v="0"/>
    <s v="Top Seller"/>
  </r>
  <r>
    <s v="TI168"/>
    <x v="66"/>
    <x v="3"/>
    <s v="Amruta Butte"/>
    <s v="Biscuits"/>
    <x v="1"/>
    <n v="8"/>
    <n v="35000"/>
    <x v="3"/>
    <n v="280000"/>
    <x v="28"/>
    <n v="136000"/>
    <x v="3"/>
    <x v="5"/>
    <x v="1"/>
    <x v="0"/>
    <s v="Top Seller"/>
  </r>
  <r>
    <s v="TI169"/>
    <x v="67"/>
    <x v="3"/>
    <s v="Karan Bhise"/>
    <s v="Tea"/>
    <x v="9"/>
    <n v="9"/>
    <n v="35000"/>
    <x v="3"/>
    <n v="315000"/>
    <x v="36"/>
    <n v="153000"/>
    <x v="6"/>
    <x v="0"/>
    <x v="2"/>
    <x v="0"/>
    <s v="Top Seller"/>
  </r>
  <r>
    <s v="TI170"/>
    <x v="68"/>
    <x v="3"/>
    <s v="Sachin Tayde"/>
    <s v="Rice"/>
    <x v="10"/>
    <n v="4"/>
    <n v="35000"/>
    <x v="3"/>
    <n v="140000"/>
    <x v="23"/>
    <n v="68000"/>
    <x v="6"/>
    <x v="5"/>
    <x v="2"/>
    <x v="0"/>
    <s v="Top Seller"/>
  </r>
  <r>
    <s v="TI171"/>
    <x v="69"/>
    <x v="3"/>
    <s v="Vaibhav Ingole"/>
    <s v="Wheat"/>
    <x v="4"/>
    <n v="9"/>
    <n v="35000"/>
    <x v="3"/>
    <n v="315000"/>
    <x v="36"/>
    <n v="153000"/>
    <x v="6"/>
    <x v="2"/>
    <x v="2"/>
    <x v="0"/>
    <s v="Normal"/>
  </r>
  <r>
    <s v="TI172"/>
    <x v="70"/>
    <x v="0"/>
    <s v="Priynka Ingole"/>
    <s v="Biscuits"/>
    <x v="0"/>
    <n v="1"/>
    <n v="1500"/>
    <x v="4"/>
    <n v="1500"/>
    <x v="18"/>
    <n v="1500"/>
    <x v="11"/>
    <x v="0"/>
    <x v="3"/>
    <x v="0"/>
    <s v="Top Seller"/>
  </r>
  <r>
    <s v="TI173"/>
    <x v="71"/>
    <x v="2"/>
    <s v="Sneha Butte"/>
    <s v="Milk"/>
    <x v="9"/>
    <n v="3"/>
    <n v="20000"/>
    <x v="2"/>
    <n v="60000"/>
    <x v="10"/>
    <n v="30000"/>
    <x v="4"/>
    <x v="5"/>
    <x v="2"/>
    <x v="0"/>
    <s v="Top Seller"/>
  </r>
  <r>
    <s v="TI174"/>
    <x v="72"/>
    <x v="2"/>
    <s v="Asha Dange"/>
    <s v="Rice"/>
    <x v="2"/>
    <n v="2"/>
    <n v="35000"/>
    <x v="3"/>
    <n v="70000"/>
    <x v="31"/>
    <n v="34000"/>
    <x v="4"/>
    <x v="2"/>
    <x v="2"/>
    <x v="0"/>
    <s v="Top Seller"/>
  </r>
  <r>
    <s v="TI175"/>
    <x v="73"/>
    <x v="3"/>
    <s v="Mona Dange"/>
    <s v="Vegetables"/>
    <x v="7"/>
    <n v="4"/>
    <n v="20000"/>
    <x v="2"/>
    <n v="80000"/>
    <x v="30"/>
    <n v="40000"/>
    <x v="5"/>
    <x v="1"/>
    <x v="3"/>
    <x v="0"/>
    <s v="Top Seller"/>
  </r>
  <r>
    <s v="TI176"/>
    <x v="1"/>
    <x v="2"/>
    <s v="Shivanad Fartade"/>
    <s v="Shampoo"/>
    <x v="2"/>
    <n v="1"/>
    <n v="35000"/>
    <x v="3"/>
    <n v="35000"/>
    <x v="35"/>
    <n v="17000"/>
    <x v="1"/>
    <x v="1"/>
    <x v="1"/>
    <x v="0"/>
    <s v="Top Seller"/>
  </r>
  <r>
    <s v="TI177"/>
    <x v="3"/>
    <x v="3"/>
    <s v="Kondiba Fartade"/>
    <s v="Vegetables"/>
    <x v="0"/>
    <n v="5"/>
    <n v="12000"/>
    <x v="0"/>
    <n v="60000"/>
    <x v="10"/>
    <n v="30000"/>
    <x v="3"/>
    <x v="0"/>
    <x v="1"/>
    <x v="0"/>
    <s v="Top Seller"/>
  </r>
  <r>
    <s v="TI178"/>
    <x v="74"/>
    <x v="3"/>
    <s v="Satyam Dhokar"/>
    <s v="Milk"/>
    <x v="1"/>
    <n v="9"/>
    <n v="20000"/>
    <x v="2"/>
    <n v="180000"/>
    <x v="13"/>
    <n v="90000"/>
    <x v="1"/>
    <x v="0"/>
    <x v="1"/>
    <x v="0"/>
    <s v="Normal"/>
  </r>
  <r>
    <s v="TI179"/>
    <x v="75"/>
    <x v="3"/>
    <s v="Mona Rahikar"/>
    <s v="Tea"/>
    <x v="3"/>
    <n v="7"/>
    <n v="1500"/>
    <x v="4"/>
    <n v="10500"/>
    <x v="15"/>
    <n v="10500"/>
    <x v="7"/>
    <x v="1"/>
    <x v="3"/>
    <x v="0"/>
    <s v="Top Seller"/>
  </r>
  <r>
    <s v="TI180"/>
    <x v="76"/>
    <x v="1"/>
    <s v="Mona Kale"/>
    <s v="Lentils"/>
    <x v="8"/>
    <n v="8"/>
    <n v="6000"/>
    <x v="1"/>
    <n v="48000"/>
    <x v="37"/>
    <n v="32000"/>
    <x v="2"/>
    <x v="1"/>
    <x v="2"/>
    <x v="0"/>
    <s v="Normal"/>
  </r>
  <r>
    <s v="TI181"/>
    <x v="77"/>
    <x v="0"/>
    <s v="Sahil Mali"/>
    <s v="Cooking"/>
    <x v="2"/>
    <n v="5"/>
    <n v="1500"/>
    <x v="4"/>
    <n v="7500"/>
    <x v="27"/>
    <n v="7500"/>
    <x v="7"/>
    <x v="2"/>
    <x v="3"/>
    <x v="0"/>
    <s v="Top Seller"/>
  </r>
  <r>
    <s v="TI182"/>
    <x v="78"/>
    <x v="2"/>
    <s v="Saloni Thorat"/>
    <s v="Eggs"/>
    <x v="4"/>
    <n v="7"/>
    <n v="35000"/>
    <x v="3"/>
    <n v="245000"/>
    <x v="9"/>
    <n v="119000"/>
    <x v="7"/>
    <x v="0"/>
    <x v="3"/>
    <x v="0"/>
    <s v="Top Seller"/>
  </r>
  <r>
    <s v="TI183"/>
    <x v="79"/>
    <x v="2"/>
    <s v="Kondiba Rahikar"/>
    <s v="Biscuits"/>
    <x v="3"/>
    <n v="6"/>
    <n v="12000"/>
    <x v="0"/>
    <n v="72000"/>
    <x v="3"/>
    <n v="36000"/>
    <x v="3"/>
    <x v="3"/>
    <x v="1"/>
    <x v="0"/>
    <s v="Top Seller"/>
  </r>
  <r>
    <s v="TI184"/>
    <x v="80"/>
    <x v="3"/>
    <s v="Ganesh Fartade"/>
    <s v="Lentils"/>
    <x v="5"/>
    <n v="6"/>
    <n v="6000"/>
    <x v="1"/>
    <n v="36000"/>
    <x v="4"/>
    <n v="24000"/>
    <x v="9"/>
    <x v="1"/>
    <x v="0"/>
    <x v="0"/>
    <s v="Normal"/>
  </r>
  <r>
    <s v="TI185"/>
    <x v="81"/>
    <x v="1"/>
    <s v="Kondiba Pawar"/>
    <s v="Sugar"/>
    <x v="11"/>
    <n v="1"/>
    <n v="1500"/>
    <x v="4"/>
    <n v="1500"/>
    <x v="18"/>
    <n v="1500"/>
    <x v="1"/>
    <x v="1"/>
    <x v="1"/>
    <x v="0"/>
    <s v="Top Seller"/>
  </r>
  <r>
    <s v="TI186"/>
    <x v="82"/>
    <x v="1"/>
    <s v="Mona Dhokar"/>
    <s v="Bread"/>
    <x v="7"/>
    <n v="3"/>
    <n v="35000"/>
    <x v="3"/>
    <n v="105000"/>
    <x v="11"/>
    <n v="51000"/>
    <x v="6"/>
    <x v="5"/>
    <x v="2"/>
    <x v="0"/>
    <s v="Top Seller"/>
  </r>
  <r>
    <s v="TI187"/>
    <x v="83"/>
    <x v="1"/>
    <s v="Rutuja Mane"/>
    <s v="Soap"/>
    <x v="3"/>
    <n v="7"/>
    <n v="20000"/>
    <x v="2"/>
    <n v="140000"/>
    <x v="14"/>
    <n v="70000"/>
    <x v="10"/>
    <x v="2"/>
    <x v="1"/>
    <x v="0"/>
    <s v="Normal"/>
  </r>
  <r>
    <s v="TI188"/>
    <x v="84"/>
    <x v="2"/>
    <s v="Dinesh Dhokar"/>
    <s v="Lentils"/>
    <x v="0"/>
    <n v="5"/>
    <n v="1500"/>
    <x v="4"/>
    <n v="7500"/>
    <x v="27"/>
    <n v="7500"/>
    <x v="10"/>
    <x v="4"/>
    <x v="1"/>
    <x v="0"/>
    <s v="Top Seller"/>
  </r>
  <r>
    <s v="TI189"/>
    <x v="85"/>
    <x v="2"/>
    <s v="Ganesh Gaikwad"/>
    <s v="Butter"/>
    <x v="3"/>
    <n v="8"/>
    <n v="6000"/>
    <x v="1"/>
    <n v="48000"/>
    <x v="37"/>
    <n v="32000"/>
    <x v="6"/>
    <x v="3"/>
    <x v="2"/>
    <x v="0"/>
    <s v="Normal"/>
  </r>
  <r>
    <s v="TI190"/>
    <x v="86"/>
    <x v="1"/>
    <s v="Vaibhav Fartade"/>
    <s v="Lentils"/>
    <x v="0"/>
    <n v="4"/>
    <n v="6000"/>
    <x v="1"/>
    <n v="24000"/>
    <x v="25"/>
    <n v="16000"/>
    <x v="5"/>
    <x v="5"/>
    <x v="3"/>
    <x v="0"/>
    <s v="Normal"/>
  </r>
  <r>
    <s v="TI191"/>
    <x v="87"/>
    <x v="2"/>
    <s v="Sakshi Butte"/>
    <s v="Milk"/>
    <x v="11"/>
    <n v="8"/>
    <n v="1500"/>
    <x v="4"/>
    <n v="12000"/>
    <x v="24"/>
    <n v="12000"/>
    <x v="4"/>
    <x v="3"/>
    <x v="2"/>
    <x v="0"/>
    <s v="Top Seller"/>
  </r>
  <r>
    <s v="TI192"/>
    <x v="88"/>
    <x v="2"/>
    <s v="Shivanad Ghule"/>
    <s v="Bread"/>
    <x v="9"/>
    <n v="8"/>
    <n v="20000"/>
    <x v="2"/>
    <n v="160000"/>
    <x v="38"/>
    <n v="80000"/>
    <x v="8"/>
    <x v="3"/>
    <x v="0"/>
    <x v="0"/>
    <s v="Top Seller"/>
  </r>
  <r>
    <s v="TI193"/>
    <x v="58"/>
    <x v="2"/>
    <s v="Sahil Rahikar"/>
    <s v="Rice"/>
    <x v="5"/>
    <n v="4"/>
    <n v="35000"/>
    <x v="3"/>
    <n v="140000"/>
    <x v="23"/>
    <n v="68000"/>
    <x v="9"/>
    <x v="5"/>
    <x v="0"/>
    <x v="0"/>
    <s v="Top Seller"/>
  </r>
  <r>
    <s v="TI194"/>
    <x v="89"/>
    <x v="3"/>
    <s v="Raj Ingole"/>
    <s v="Salt"/>
    <x v="7"/>
    <n v="4"/>
    <n v="20000"/>
    <x v="2"/>
    <n v="80000"/>
    <x v="30"/>
    <n v="40000"/>
    <x v="6"/>
    <x v="1"/>
    <x v="2"/>
    <x v="0"/>
    <s v="Top Seller"/>
  </r>
  <r>
    <s v="TI195"/>
    <x v="90"/>
    <x v="2"/>
    <s v="Sneha Mane"/>
    <s v="Soap"/>
    <x v="4"/>
    <n v="5"/>
    <n v="12000"/>
    <x v="0"/>
    <n v="60000"/>
    <x v="10"/>
    <n v="30000"/>
    <x v="5"/>
    <x v="1"/>
    <x v="3"/>
    <x v="0"/>
    <s v="Top Seller"/>
  </r>
  <r>
    <s v="TI196"/>
    <x v="91"/>
    <x v="3"/>
    <s v="Sakshi Rahikar"/>
    <s v="Biscuits"/>
    <x v="0"/>
    <n v="9"/>
    <n v="20000"/>
    <x v="2"/>
    <n v="180000"/>
    <x v="13"/>
    <n v="90000"/>
    <x v="7"/>
    <x v="4"/>
    <x v="3"/>
    <x v="0"/>
    <s v="Top Seller"/>
  </r>
  <r>
    <s v="TI197"/>
    <x v="92"/>
    <x v="3"/>
    <s v="Ganesh Ghule"/>
    <s v="Cheese"/>
    <x v="11"/>
    <n v="2"/>
    <n v="20000"/>
    <x v="2"/>
    <n v="40000"/>
    <x v="4"/>
    <n v="20000"/>
    <x v="0"/>
    <x v="2"/>
    <x v="0"/>
    <x v="0"/>
    <s v="Normal"/>
  </r>
  <r>
    <s v="TI198"/>
    <x v="93"/>
    <x v="0"/>
    <s v="Sachin Tandle"/>
    <s v="Bread"/>
    <x v="10"/>
    <n v="4"/>
    <n v="6000"/>
    <x v="1"/>
    <n v="24000"/>
    <x v="25"/>
    <n v="16000"/>
    <x v="2"/>
    <x v="5"/>
    <x v="2"/>
    <x v="0"/>
    <s v="Normal"/>
  </r>
  <r>
    <s v="TI199"/>
    <x v="94"/>
    <x v="0"/>
    <s v="Dinesh Kinkar"/>
    <s v="Wheat"/>
    <x v="3"/>
    <n v="4"/>
    <n v="6000"/>
    <x v="1"/>
    <n v="24000"/>
    <x v="25"/>
    <n v="16000"/>
    <x v="1"/>
    <x v="1"/>
    <x v="1"/>
    <x v="0"/>
    <s v="Top Seller"/>
  </r>
  <r>
    <s v="TI200"/>
    <x v="95"/>
    <x v="2"/>
    <s v="Pradip Ingle"/>
    <s v="Lentils"/>
    <x v="7"/>
    <n v="8"/>
    <n v="35000"/>
    <x v="3"/>
    <n v="280000"/>
    <x v="28"/>
    <n v="136000"/>
    <x v="4"/>
    <x v="0"/>
    <x v="2"/>
    <x v="0"/>
    <s v="Normal"/>
  </r>
  <r>
    <s v="TI201"/>
    <x v="96"/>
    <x v="0"/>
    <s v="Amruta Kale"/>
    <s v="Toothpaste"/>
    <x v="1"/>
    <n v="2"/>
    <n v="1500"/>
    <x v="4"/>
    <n v="3000"/>
    <x v="8"/>
    <n v="3000"/>
    <x v="8"/>
    <x v="1"/>
    <x v="0"/>
    <x v="0"/>
    <s v="Normal"/>
  </r>
  <r>
    <s v="TI202"/>
    <x v="97"/>
    <x v="2"/>
    <s v="Sundar Bhise"/>
    <s v="Tea"/>
    <x v="9"/>
    <n v="6"/>
    <n v="1500"/>
    <x v="4"/>
    <n v="9000"/>
    <x v="17"/>
    <n v="9000"/>
    <x v="11"/>
    <x v="4"/>
    <x v="3"/>
    <x v="0"/>
    <s v="Normal"/>
  </r>
  <r>
    <s v="TI203"/>
    <x v="40"/>
    <x v="1"/>
    <s v="Ganesh Butte"/>
    <s v="Rice"/>
    <x v="5"/>
    <n v="3"/>
    <n v="6000"/>
    <x v="1"/>
    <n v="18000"/>
    <x v="26"/>
    <n v="12000"/>
    <x v="11"/>
    <x v="3"/>
    <x v="3"/>
    <x v="0"/>
    <s v="Normal"/>
  </r>
  <r>
    <s v="TI204"/>
    <x v="98"/>
    <x v="2"/>
    <s v="Priynka Sawant"/>
    <s v="Salt"/>
    <x v="7"/>
    <n v="2"/>
    <n v="12000"/>
    <x v="0"/>
    <n v="24000"/>
    <x v="22"/>
    <n v="12000"/>
    <x v="1"/>
    <x v="0"/>
    <x v="1"/>
    <x v="0"/>
    <s v="Normal"/>
  </r>
  <r>
    <s v="TI205"/>
    <x v="78"/>
    <x v="1"/>
    <s v="Maroti Bhise"/>
    <s v="Soap"/>
    <x v="7"/>
    <n v="9"/>
    <n v="1500"/>
    <x v="4"/>
    <n v="13500"/>
    <x v="19"/>
    <n v="13500"/>
    <x v="7"/>
    <x v="0"/>
    <x v="3"/>
    <x v="0"/>
    <s v="Top Seller"/>
  </r>
  <r>
    <s v="TI206"/>
    <x v="99"/>
    <x v="0"/>
    <s v="Rutuja Yede"/>
    <s v="Shampoo"/>
    <x v="7"/>
    <n v="6"/>
    <n v="6000"/>
    <x v="1"/>
    <n v="36000"/>
    <x v="4"/>
    <n v="24000"/>
    <x v="1"/>
    <x v="2"/>
    <x v="1"/>
    <x v="0"/>
    <s v="Normal"/>
  </r>
  <r>
    <s v="TI207"/>
    <x v="100"/>
    <x v="1"/>
    <s v="Mona Puri"/>
    <s v="Toothpaste"/>
    <x v="0"/>
    <n v="8"/>
    <n v="1500"/>
    <x v="4"/>
    <n v="12000"/>
    <x v="24"/>
    <n v="12000"/>
    <x v="0"/>
    <x v="4"/>
    <x v="0"/>
    <x v="0"/>
    <s v="Normal"/>
  </r>
  <r>
    <s v="TI208"/>
    <x v="101"/>
    <x v="0"/>
    <s v="Shivanad Gaikwad"/>
    <s v="Cheese"/>
    <x v="10"/>
    <n v="3"/>
    <n v="1500"/>
    <x v="4"/>
    <n v="4500"/>
    <x v="12"/>
    <n v="4500"/>
    <x v="8"/>
    <x v="4"/>
    <x v="0"/>
    <x v="0"/>
    <s v="Top Seller"/>
  </r>
  <r>
    <s v="TI209"/>
    <x v="6"/>
    <x v="0"/>
    <s v="Kondiba Fartade"/>
    <s v="Wheat"/>
    <x v="5"/>
    <n v="9"/>
    <n v="6000"/>
    <x v="1"/>
    <n v="54000"/>
    <x v="10"/>
    <n v="36000"/>
    <x v="4"/>
    <x v="1"/>
    <x v="2"/>
    <x v="0"/>
    <s v="Top Seller"/>
  </r>
  <r>
    <s v="TI210"/>
    <x v="102"/>
    <x v="1"/>
    <s v="Sahil Sawant"/>
    <s v="Sugar"/>
    <x v="2"/>
    <n v="7"/>
    <n v="35000"/>
    <x v="3"/>
    <n v="245000"/>
    <x v="9"/>
    <n v="119000"/>
    <x v="3"/>
    <x v="1"/>
    <x v="1"/>
    <x v="0"/>
    <s v="Top Seller"/>
  </r>
  <r>
    <s v="TI211"/>
    <x v="103"/>
    <x v="3"/>
    <s v="Sneha Dhokar"/>
    <s v="Vegetables"/>
    <x v="7"/>
    <n v="4"/>
    <n v="35000"/>
    <x v="3"/>
    <n v="140000"/>
    <x v="23"/>
    <n v="68000"/>
    <x v="4"/>
    <x v="3"/>
    <x v="2"/>
    <x v="0"/>
    <s v="Top Seller"/>
  </r>
  <r>
    <s v="TI212"/>
    <x v="104"/>
    <x v="2"/>
    <s v="Sakshi Fartade"/>
    <s v="Soap"/>
    <x v="0"/>
    <n v="3"/>
    <n v="35000"/>
    <x v="3"/>
    <n v="105000"/>
    <x v="11"/>
    <n v="51000"/>
    <x v="0"/>
    <x v="2"/>
    <x v="0"/>
    <x v="0"/>
    <s v="Top Seller"/>
  </r>
  <r>
    <s v="TI213"/>
    <x v="105"/>
    <x v="3"/>
    <s v="Sundar Tandle"/>
    <s v="Milk"/>
    <x v="5"/>
    <n v="2"/>
    <n v="20000"/>
    <x v="2"/>
    <n v="40000"/>
    <x v="4"/>
    <n v="20000"/>
    <x v="0"/>
    <x v="4"/>
    <x v="0"/>
    <x v="0"/>
    <s v="Top Seller"/>
  </r>
  <r>
    <s v="TI214"/>
    <x v="106"/>
    <x v="0"/>
    <s v="Priynka Ingole"/>
    <s v="Salt"/>
    <x v="2"/>
    <n v="9"/>
    <n v="35000"/>
    <x v="3"/>
    <n v="315000"/>
    <x v="36"/>
    <n v="153000"/>
    <x v="0"/>
    <x v="3"/>
    <x v="0"/>
    <x v="0"/>
    <s v="Top Seller"/>
  </r>
  <r>
    <s v="TI215"/>
    <x v="107"/>
    <x v="1"/>
    <s v="Saloni Bhise"/>
    <s v="Eggs"/>
    <x v="5"/>
    <n v="8"/>
    <n v="35000"/>
    <x v="3"/>
    <n v="280000"/>
    <x v="28"/>
    <n v="136000"/>
    <x v="5"/>
    <x v="0"/>
    <x v="3"/>
    <x v="0"/>
    <s v="Top Seller"/>
  </r>
  <r>
    <s v="TI216"/>
    <x v="108"/>
    <x v="2"/>
    <s v="Ruchita Kale"/>
    <s v="Salt"/>
    <x v="7"/>
    <n v="2"/>
    <n v="20000"/>
    <x v="2"/>
    <n v="40000"/>
    <x v="4"/>
    <n v="20000"/>
    <x v="10"/>
    <x v="0"/>
    <x v="1"/>
    <x v="0"/>
    <s v="Top Seller"/>
  </r>
  <r>
    <s v="TI217"/>
    <x v="109"/>
    <x v="3"/>
    <s v="Pradip Pawar"/>
    <s v="Shampoo"/>
    <x v="2"/>
    <n v="2"/>
    <n v="35000"/>
    <x v="3"/>
    <n v="70000"/>
    <x v="31"/>
    <n v="34000"/>
    <x v="7"/>
    <x v="3"/>
    <x v="3"/>
    <x v="0"/>
    <s v="Top Seller"/>
  </r>
  <r>
    <s v="TI218"/>
    <x v="110"/>
    <x v="0"/>
    <s v="Sakshi Kale"/>
    <s v="Vegetables"/>
    <x v="2"/>
    <n v="6"/>
    <n v="6000"/>
    <x v="1"/>
    <n v="36000"/>
    <x v="4"/>
    <n v="24000"/>
    <x v="4"/>
    <x v="5"/>
    <x v="2"/>
    <x v="0"/>
    <s v="Normal"/>
  </r>
  <r>
    <s v="TI219"/>
    <x v="111"/>
    <x v="3"/>
    <s v="Shivanad Ingle"/>
    <s v="Eggs"/>
    <x v="4"/>
    <n v="1"/>
    <n v="12000"/>
    <x v="0"/>
    <n v="12000"/>
    <x v="17"/>
    <n v="6000"/>
    <x v="0"/>
    <x v="1"/>
    <x v="0"/>
    <x v="0"/>
    <s v="Top Seller"/>
  </r>
  <r>
    <s v="TI220"/>
    <x v="112"/>
    <x v="0"/>
    <s v="Asha Puri"/>
    <s v="Biscuits"/>
    <x v="2"/>
    <n v="1"/>
    <n v="35000"/>
    <x v="3"/>
    <n v="35000"/>
    <x v="35"/>
    <n v="17000"/>
    <x v="4"/>
    <x v="4"/>
    <x v="2"/>
    <x v="0"/>
    <s v="Top Seller"/>
  </r>
  <r>
    <s v="TI221"/>
    <x v="113"/>
    <x v="0"/>
    <s v="Priynka Dange"/>
    <s v="Fruits"/>
    <x v="4"/>
    <n v="10"/>
    <n v="20000"/>
    <x v="2"/>
    <n v="200000"/>
    <x v="20"/>
    <n v="100000"/>
    <x v="6"/>
    <x v="1"/>
    <x v="2"/>
    <x v="0"/>
    <s v="Top Seller"/>
  </r>
  <r>
    <s v="TI222"/>
    <x v="114"/>
    <x v="1"/>
    <s v="Raj Kinkar"/>
    <s v="Biscuits"/>
    <x v="7"/>
    <n v="4"/>
    <n v="35000"/>
    <x v="3"/>
    <n v="140000"/>
    <x v="23"/>
    <n v="68000"/>
    <x v="4"/>
    <x v="3"/>
    <x v="2"/>
    <x v="0"/>
    <s v="Normal"/>
  </r>
  <r>
    <s v="TI223"/>
    <x v="115"/>
    <x v="2"/>
    <s v="Kartik Thorat"/>
    <s v="Shampoo"/>
    <x v="2"/>
    <n v="1"/>
    <n v="12000"/>
    <x v="0"/>
    <n v="12000"/>
    <x v="17"/>
    <n v="6000"/>
    <x v="0"/>
    <x v="1"/>
    <x v="0"/>
    <x v="0"/>
    <s v="Normal"/>
  </r>
  <r>
    <s v="TI224"/>
    <x v="116"/>
    <x v="2"/>
    <s v="Pradip Tandle"/>
    <s v="Eggs"/>
    <x v="6"/>
    <n v="1"/>
    <n v="20000"/>
    <x v="2"/>
    <n v="20000"/>
    <x v="26"/>
    <n v="10000"/>
    <x v="2"/>
    <x v="4"/>
    <x v="2"/>
    <x v="0"/>
    <s v="Top Seller"/>
  </r>
  <r>
    <s v="TI225"/>
    <x v="117"/>
    <x v="1"/>
    <s v="Kondiba Pawar"/>
    <s v="Detergent"/>
    <x v="0"/>
    <n v="9"/>
    <n v="12000"/>
    <x v="0"/>
    <n v="108000"/>
    <x v="39"/>
    <n v="54000"/>
    <x v="4"/>
    <x v="4"/>
    <x v="2"/>
    <x v="0"/>
    <s v="Top Seller"/>
  </r>
  <r>
    <s v="TI226"/>
    <x v="118"/>
    <x v="0"/>
    <s v="Sanket Mulgir"/>
    <s v="Milk"/>
    <x v="0"/>
    <n v="4"/>
    <n v="35000"/>
    <x v="3"/>
    <n v="140000"/>
    <x v="23"/>
    <n v="68000"/>
    <x v="2"/>
    <x v="2"/>
    <x v="2"/>
    <x v="0"/>
    <s v="Normal"/>
  </r>
  <r>
    <s v="TI227"/>
    <x v="119"/>
    <x v="1"/>
    <s v="Satyam Bhise"/>
    <s v="Cheese"/>
    <x v="0"/>
    <n v="2"/>
    <n v="6000"/>
    <x v="1"/>
    <n v="12000"/>
    <x v="2"/>
    <n v="8000"/>
    <x v="5"/>
    <x v="5"/>
    <x v="3"/>
    <x v="0"/>
    <s v="Normal"/>
  </r>
  <r>
    <s v="TI228"/>
    <x v="120"/>
    <x v="0"/>
    <s v="Sundar Kinkar"/>
    <s v="Milk"/>
    <x v="10"/>
    <n v="2"/>
    <n v="6000"/>
    <x v="1"/>
    <n v="12000"/>
    <x v="2"/>
    <n v="8000"/>
    <x v="3"/>
    <x v="2"/>
    <x v="1"/>
    <x v="0"/>
    <s v="Top Seller"/>
  </r>
  <r>
    <s v="TI229"/>
    <x v="121"/>
    <x v="1"/>
    <s v="Karan Butte"/>
    <s v="Wheat"/>
    <x v="9"/>
    <n v="4"/>
    <n v="20000"/>
    <x v="2"/>
    <n v="80000"/>
    <x v="30"/>
    <n v="40000"/>
    <x v="0"/>
    <x v="3"/>
    <x v="0"/>
    <x v="0"/>
    <s v="Normal"/>
  </r>
  <r>
    <s v="TI230"/>
    <x v="122"/>
    <x v="3"/>
    <s v="Raj Jagtap"/>
    <s v="Rice"/>
    <x v="1"/>
    <n v="2"/>
    <n v="12000"/>
    <x v="0"/>
    <n v="24000"/>
    <x v="22"/>
    <n v="12000"/>
    <x v="1"/>
    <x v="3"/>
    <x v="1"/>
    <x v="0"/>
    <s v="Normal"/>
  </r>
  <r>
    <s v="TI231"/>
    <x v="123"/>
    <x v="0"/>
    <s v="Sneha Kale"/>
    <s v="Coffee"/>
    <x v="9"/>
    <n v="10"/>
    <n v="1500"/>
    <x v="4"/>
    <n v="15000"/>
    <x v="26"/>
    <n v="15000"/>
    <x v="8"/>
    <x v="1"/>
    <x v="0"/>
    <x v="0"/>
    <s v="Normal"/>
  </r>
  <r>
    <s v="TI232"/>
    <x v="124"/>
    <x v="0"/>
    <s v="Saloni Jagtap"/>
    <s v="Rice"/>
    <x v="7"/>
    <n v="2"/>
    <n v="6000"/>
    <x v="1"/>
    <n v="12000"/>
    <x v="2"/>
    <n v="8000"/>
    <x v="7"/>
    <x v="4"/>
    <x v="3"/>
    <x v="0"/>
    <s v="Top Seller"/>
  </r>
  <r>
    <s v="TI233"/>
    <x v="125"/>
    <x v="2"/>
    <s v="Vaibhav Nirfhal"/>
    <s v="Shampoo"/>
    <x v="0"/>
    <n v="9"/>
    <n v="20000"/>
    <x v="2"/>
    <n v="180000"/>
    <x v="13"/>
    <n v="90000"/>
    <x v="6"/>
    <x v="0"/>
    <x v="2"/>
    <x v="0"/>
    <s v="Normal"/>
  </r>
  <r>
    <s v="TI234"/>
    <x v="126"/>
    <x v="2"/>
    <s v="Sundar Mali"/>
    <s v="Butter"/>
    <x v="5"/>
    <n v="1"/>
    <n v="12000"/>
    <x v="0"/>
    <n v="12000"/>
    <x v="17"/>
    <n v="6000"/>
    <x v="7"/>
    <x v="5"/>
    <x v="3"/>
    <x v="0"/>
    <s v="Normal"/>
  </r>
  <r>
    <s v="TI235"/>
    <x v="127"/>
    <x v="2"/>
    <s v="Asha Mane"/>
    <s v="Salt"/>
    <x v="0"/>
    <n v="7"/>
    <n v="1500"/>
    <x v="4"/>
    <n v="10500"/>
    <x v="15"/>
    <n v="10500"/>
    <x v="10"/>
    <x v="2"/>
    <x v="1"/>
    <x v="0"/>
    <s v="Normal"/>
  </r>
  <r>
    <s v="TI236"/>
    <x v="77"/>
    <x v="0"/>
    <s v="Priynka Yede"/>
    <s v="Milk"/>
    <x v="2"/>
    <n v="10"/>
    <n v="1500"/>
    <x v="4"/>
    <n v="15000"/>
    <x v="26"/>
    <n v="15000"/>
    <x v="7"/>
    <x v="2"/>
    <x v="3"/>
    <x v="0"/>
    <s v="Normal"/>
  </r>
  <r>
    <s v="TI237"/>
    <x v="128"/>
    <x v="1"/>
    <s v="Sakshi Puri"/>
    <s v="Eggs"/>
    <x v="0"/>
    <n v="4"/>
    <n v="1500"/>
    <x v="4"/>
    <n v="6000"/>
    <x v="40"/>
    <n v="6000"/>
    <x v="3"/>
    <x v="2"/>
    <x v="1"/>
    <x v="0"/>
    <s v="Top Seller"/>
  </r>
  <r>
    <s v="TI238"/>
    <x v="129"/>
    <x v="0"/>
    <s v="Rohan Mane"/>
    <s v="Milk"/>
    <x v="0"/>
    <n v="3"/>
    <n v="20000"/>
    <x v="2"/>
    <n v="60000"/>
    <x v="10"/>
    <n v="30000"/>
    <x v="11"/>
    <x v="0"/>
    <x v="3"/>
    <x v="0"/>
    <s v="Normal"/>
  </r>
  <r>
    <s v="TI239"/>
    <x v="130"/>
    <x v="0"/>
    <s v="Priynka Dange"/>
    <s v="Milk"/>
    <x v="0"/>
    <n v="2"/>
    <n v="6000"/>
    <x v="1"/>
    <n v="12000"/>
    <x v="2"/>
    <n v="8000"/>
    <x v="11"/>
    <x v="4"/>
    <x v="3"/>
    <x v="0"/>
    <s v="Top Seller"/>
  </r>
  <r>
    <s v="TI240"/>
    <x v="131"/>
    <x v="0"/>
    <s v="Rohan Ingole"/>
    <s v="Cheese"/>
    <x v="11"/>
    <n v="7"/>
    <n v="6000"/>
    <x v="1"/>
    <n v="42000"/>
    <x v="41"/>
    <n v="28000"/>
    <x v="11"/>
    <x v="0"/>
    <x v="3"/>
    <x v="0"/>
    <s v="Top Seller"/>
  </r>
  <r>
    <s v="TI241"/>
    <x v="132"/>
    <x v="0"/>
    <s v="Dinesh Dange"/>
    <s v="Bread"/>
    <x v="2"/>
    <n v="3"/>
    <n v="12000"/>
    <x v="0"/>
    <n v="36000"/>
    <x v="29"/>
    <n v="18000"/>
    <x v="3"/>
    <x v="2"/>
    <x v="1"/>
    <x v="0"/>
    <s v="Top Seller"/>
  </r>
  <r>
    <s v="TI242"/>
    <x v="133"/>
    <x v="3"/>
    <s v="Dinesh Butte"/>
    <s v="Vegetables"/>
    <x v="4"/>
    <n v="4"/>
    <n v="35000"/>
    <x v="3"/>
    <n v="140000"/>
    <x v="23"/>
    <n v="68000"/>
    <x v="4"/>
    <x v="5"/>
    <x v="2"/>
    <x v="0"/>
    <s v="Normal"/>
  </r>
  <r>
    <s v="TI243"/>
    <x v="134"/>
    <x v="2"/>
    <s v="Priynka Pawar"/>
    <s v="Biscuits"/>
    <x v="0"/>
    <n v="2"/>
    <n v="6000"/>
    <x v="1"/>
    <n v="12000"/>
    <x v="2"/>
    <n v="8000"/>
    <x v="2"/>
    <x v="2"/>
    <x v="2"/>
    <x v="0"/>
    <s v="Normal"/>
  </r>
  <r>
    <s v="TI244"/>
    <x v="135"/>
    <x v="1"/>
    <s v="Asha Butte"/>
    <s v="Milk"/>
    <x v="7"/>
    <n v="2"/>
    <n v="12000"/>
    <x v="0"/>
    <n v="24000"/>
    <x v="22"/>
    <n v="12000"/>
    <x v="10"/>
    <x v="5"/>
    <x v="1"/>
    <x v="0"/>
    <s v="Normal"/>
  </r>
  <r>
    <s v="TI245"/>
    <x v="136"/>
    <x v="2"/>
    <s v="Sakshi Gaikwad"/>
    <s v="Soap"/>
    <x v="4"/>
    <n v="3"/>
    <n v="6000"/>
    <x v="1"/>
    <n v="18000"/>
    <x v="26"/>
    <n v="12000"/>
    <x v="7"/>
    <x v="5"/>
    <x v="3"/>
    <x v="0"/>
    <s v="Top Seller"/>
  </r>
  <r>
    <s v="TI246"/>
    <x v="137"/>
    <x v="3"/>
    <s v="Pradip Mulgir"/>
    <s v="Biscuits"/>
    <x v="2"/>
    <n v="3"/>
    <n v="20000"/>
    <x v="2"/>
    <n v="60000"/>
    <x v="10"/>
    <n v="30000"/>
    <x v="4"/>
    <x v="1"/>
    <x v="2"/>
    <x v="0"/>
    <s v="Normal"/>
  </r>
  <r>
    <s v="TI247"/>
    <x v="138"/>
    <x v="2"/>
    <s v="Sundar Sawant"/>
    <s v="Vegetables"/>
    <x v="8"/>
    <n v="2"/>
    <n v="12000"/>
    <x v="0"/>
    <n v="24000"/>
    <x v="22"/>
    <n v="12000"/>
    <x v="10"/>
    <x v="3"/>
    <x v="1"/>
    <x v="0"/>
    <s v="Normal"/>
  </r>
  <r>
    <s v="TI248"/>
    <x v="139"/>
    <x v="0"/>
    <s v="Asha Bhole"/>
    <s v="Cooking"/>
    <x v="10"/>
    <n v="4"/>
    <n v="1500"/>
    <x v="4"/>
    <n v="6000"/>
    <x v="40"/>
    <n v="6000"/>
    <x v="11"/>
    <x v="4"/>
    <x v="3"/>
    <x v="0"/>
    <s v="Top Seller"/>
  </r>
  <r>
    <s v="TI249"/>
    <x v="140"/>
    <x v="3"/>
    <s v="Asha Gaikwad"/>
    <s v="Wheat"/>
    <x v="2"/>
    <n v="5"/>
    <n v="20000"/>
    <x v="2"/>
    <n v="100000"/>
    <x v="16"/>
    <n v="50000"/>
    <x v="0"/>
    <x v="4"/>
    <x v="0"/>
    <x v="0"/>
    <s v="Top Seller"/>
  </r>
  <r>
    <s v="TI250"/>
    <x v="141"/>
    <x v="2"/>
    <s v="Sachin Dhokar"/>
    <s v="Eggs"/>
    <x v="0"/>
    <n v="4"/>
    <n v="35000"/>
    <x v="3"/>
    <n v="140000"/>
    <x v="23"/>
    <n v="68000"/>
    <x v="7"/>
    <x v="5"/>
    <x v="3"/>
    <x v="0"/>
    <s v="Top Seller"/>
  </r>
  <r>
    <s v="TI251"/>
    <x v="142"/>
    <x v="3"/>
    <s v="Saloni Puri"/>
    <s v="Cheese"/>
    <x v="0"/>
    <n v="5"/>
    <n v="35000"/>
    <x v="3"/>
    <n v="175000"/>
    <x v="7"/>
    <n v="85000"/>
    <x v="0"/>
    <x v="5"/>
    <x v="0"/>
    <x v="0"/>
    <s v="Top Seller"/>
  </r>
  <r>
    <s v="TI252"/>
    <x v="143"/>
    <x v="1"/>
    <s v="Kondiba Mulgir"/>
    <s v="Cheese"/>
    <x v="11"/>
    <n v="10"/>
    <n v="6000"/>
    <x v="1"/>
    <n v="60000"/>
    <x v="5"/>
    <n v="40000"/>
    <x v="9"/>
    <x v="0"/>
    <x v="0"/>
    <x v="0"/>
    <s v="Top Seller"/>
  </r>
  <r>
    <s v="TI253"/>
    <x v="144"/>
    <x v="2"/>
    <s v="Sachin Fartade"/>
    <s v="Bread"/>
    <x v="9"/>
    <n v="2"/>
    <n v="35000"/>
    <x v="3"/>
    <n v="70000"/>
    <x v="31"/>
    <n v="34000"/>
    <x v="8"/>
    <x v="1"/>
    <x v="0"/>
    <x v="0"/>
    <s v="Top Seller"/>
  </r>
  <r>
    <s v="TI254"/>
    <x v="145"/>
    <x v="0"/>
    <s v="Rutuja Bhise"/>
    <s v="Rice"/>
    <x v="9"/>
    <n v="6"/>
    <n v="20000"/>
    <x v="2"/>
    <n v="120000"/>
    <x v="32"/>
    <n v="60000"/>
    <x v="8"/>
    <x v="2"/>
    <x v="0"/>
    <x v="0"/>
    <s v="Top Seller"/>
  </r>
  <r>
    <s v="TI255"/>
    <x v="146"/>
    <x v="3"/>
    <s v="Satyam Tandle"/>
    <s v="Rice"/>
    <x v="2"/>
    <n v="10"/>
    <n v="6000"/>
    <x v="1"/>
    <n v="60000"/>
    <x v="5"/>
    <n v="40000"/>
    <x v="0"/>
    <x v="3"/>
    <x v="0"/>
    <x v="0"/>
    <s v="Normal"/>
  </r>
  <r>
    <s v="TI256"/>
    <x v="64"/>
    <x v="3"/>
    <s v="Priynka Ghule"/>
    <s v="Vegetables"/>
    <x v="8"/>
    <n v="1"/>
    <n v="6000"/>
    <x v="1"/>
    <n v="6000"/>
    <x v="21"/>
    <n v="4000"/>
    <x v="8"/>
    <x v="0"/>
    <x v="0"/>
    <x v="0"/>
    <s v="Top Seller"/>
  </r>
  <r>
    <s v="TI257"/>
    <x v="147"/>
    <x v="2"/>
    <s v="Priynka Ingole"/>
    <s v="Cooking"/>
    <x v="11"/>
    <n v="8"/>
    <n v="35000"/>
    <x v="3"/>
    <n v="280000"/>
    <x v="28"/>
    <n v="136000"/>
    <x v="2"/>
    <x v="4"/>
    <x v="2"/>
    <x v="0"/>
    <s v="Top Seller"/>
  </r>
  <r>
    <s v="TI258"/>
    <x v="148"/>
    <x v="1"/>
    <s v="Sahil Ingle"/>
    <s v="Bread"/>
    <x v="8"/>
    <n v="10"/>
    <n v="35000"/>
    <x v="3"/>
    <n v="350000"/>
    <x v="33"/>
    <n v="170000"/>
    <x v="6"/>
    <x v="3"/>
    <x v="2"/>
    <x v="0"/>
    <s v="Normal"/>
  </r>
  <r>
    <s v="TI259"/>
    <x v="58"/>
    <x v="0"/>
    <s v="Shivanad Mali"/>
    <s v="Cooking"/>
    <x v="0"/>
    <n v="2"/>
    <n v="6000"/>
    <x v="1"/>
    <n v="12000"/>
    <x v="2"/>
    <n v="8000"/>
    <x v="9"/>
    <x v="5"/>
    <x v="0"/>
    <x v="0"/>
    <s v="Top Seller"/>
  </r>
  <r>
    <s v="TI260"/>
    <x v="149"/>
    <x v="2"/>
    <s v="Sakshi Dange"/>
    <s v="Butter"/>
    <x v="5"/>
    <n v="4"/>
    <n v="20000"/>
    <x v="2"/>
    <n v="80000"/>
    <x v="30"/>
    <n v="40000"/>
    <x v="6"/>
    <x v="2"/>
    <x v="2"/>
    <x v="0"/>
    <s v="Normal"/>
  </r>
  <r>
    <s v="TI261"/>
    <x v="150"/>
    <x v="3"/>
    <s v="Sneha Mulgir"/>
    <s v="Salt"/>
    <x v="11"/>
    <n v="1"/>
    <n v="1500"/>
    <x v="4"/>
    <n v="1500"/>
    <x v="18"/>
    <n v="1500"/>
    <x v="10"/>
    <x v="3"/>
    <x v="1"/>
    <x v="0"/>
    <s v="Normal"/>
  </r>
  <r>
    <s v="TI262"/>
    <x v="33"/>
    <x v="2"/>
    <s v="Sachin Jadhav"/>
    <s v="Bread"/>
    <x v="9"/>
    <n v="2"/>
    <n v="12000"/>
    <x v="0"/>
    <n v="24000"/>
    <x v="22"/>
    <n v="12000"/>
    <x v="8"/>
    <x v="5"/>
    <x v="0"/>
    <x v="0"/>
    <s v="Normal"/>
  </r>
  <r>
    <s v="TI263"/>
    <x v="151"/>
    <x v="3"/>
    <s v="Maroti Mane"/>
    <s v="Rice"/>
    <x v="5"/>
    <n v="1"/>
    <n v="20000"/>
    <x v="2"/>
    <n v="20000"/>
    <x v="26"/>
    <n v="10000"/>
    <x v="6"/>
    <x v="5"/>
    <x v="2"/>
    <x v="0"/>
    <s v="Top Seller"/>
  </r>
  <r>
    <s v="TI264"/>
    <x v="59"/>
    <x v="2"/>
    <s v="Ruchita Mulgir"/>
    <s v="Salt"/>
    <x v="10"/>
    <n v="4"/>
    <n v="35000"/>
    <x v="3"/>
    <n v="140000"/>
    <x v="23"/>
    <n v="68000"/>
    <x v="5"/>
    <x v="2"/>
    <x v="3"/>
    <x v="0"/>
    <s v="Top Seller"/>
  </r>
  <r>
    <s v="TI265"/>
    <x v="152"/>
    <x v="3"/>
    <s v="Sahil Bhise"/>
    <s v="Wheat"/>
    <x v="5"/>
    <n v="6"/>
    <n v="6000"/>
    <x v="1"/>
    <n v="36000"/>
    <x v="4"/>
    <n v="24000"/>
    <x v="2"/>
    <x v="1"/>
    <x v="2"/>
    <x v="0"/>
    <s v="Top Seller"/>
  </r>
  <r>
    <s v="TI266"/>
    <x v="153"/>
    <x v="1"/>
    <s v="Sanket Butte"/>
    <s v="Salt"/>
    <x v="1"/>
    <n v="7"/>
    <n v="35000"/>
    <x v="3"/>
    <n v="245000"/>
    <x v="9"/>
    <n v="119000"/>
    <x v="8"/>
    <x v="2"/>
    <x v="0"/>
    <x v="0"/>
    <s v="Normal"/>
  </r>
  <r>
    <s v="TI267"/>
    <x v="154"/>
    <x v="3"/>
    <s v="Ganesh Thorat"/>
    <s v="Tea"/>
    <x v="11"/>
    <n v="6"/>
    <n v="1500"/>
    <x v="4"/>
    <n v="9000"/>
    <x v="17"/>
    <n v="9000"/>
    <x v="4"/>
    <x v="3"/>
    <x v="2"/>
    <x v="0"/>
    <s v="Normal"/>
  </r>
  <r>
    <s v="TI268"/>
    <x v="155"/>
    <x v="3"/>
    <s v="Kondiba Mane"/>
    <s v="Bread"/>
    <x v="7"/>
    <n v="1"/>
    <n v="12000"/>
    <x v="0"/>
    <n v="12000"/>
    <x v="17"/>
    <n v="6000"/>
    <x v="3"/>
    <x v="2"/>
    <x v="1"/>
    <x v="0"/>
    <s v="Normal"/>
  </r>
  <r>
    <s v="TI269"/>
    <x v="156"/>
    <x v="0"/>
    <s v="Karan Pawar"/>
    <s v="Soap"/>
    <x v="2"/>
    <n v="2"/>
    <n v="6000"/>
    <x v="1"/>
    <n v="12000"/>
    <x v="2"/>
    <n v="8000"/>
    <x v="1"/>
    <x v="4"/>
    <x v="1"/>
    <x v="0"/>
    <s v="Top Seller"/>
  </r>
  <r>
    <s v="TI270"/>
    <x v="157"/>
    <x v="0"/>
    <s v="Sachin Tayde"/>
    <s v="Fruits"/>
    <x v="2"/>
    <n v="4"/>
    <n v="20000"/>
    <x v="2"/>
    <n v="80000"/>
    <x v="30"/>
    <n v="40000"/>
    <x v="11"/>
    <x v="1"/>
    <x v="3"/>
    <x v="0"/>
    <s v="Normal"/>
  </r>
  <r>
    <s v="TI271"/>
    <x v="158"/>
    <x v="2"/>
    <s v="Asha Jagtap"/>
    <s v="Eggs"/>
    <x v="2"/>
    <n v="9"/>
    <n v="1500"/>
    <x v="4"/>
    <n v="13500"/>
    <x v="19"/>
    <n v="13500"/>
    <x v="11"/>
    <x v="1"/>
    <x v="3"/>
    <x v="0"/>
    <s v="Normal"/>
  </r>
  <r>
    <s v="TI272"/>
    <x v="159"/>
    <x v="1"/>
    <s v="Kartik Pawar"/>
    <s v="Vegetables"/>
    <x v="6"/>
    <n v="1"/>
    <n v="12000"/>
    <x v="0"/>
    <n v="12000"/>
    <x v="17"/>
    <n v="6000"/>
    <x v="2"/>
    <x v="4"/>
    <x v="2"/>
    <x v="0"/>
    <s v="Normal"/>
  </r>
  <r>
    <s v="TI273"/>
    <x v="160"/>
    <x v="3"/>
    <s v="Sundar Dange"/>
    <s v="Detergent"/>
    <x v="4"/>
    <n v="4"/>
    <n v="1500"/>
    <x v="4"/>
    <n v="6000"/>
    <x v="40"/>
    <n v="6000"/>
    <x v="0"/>
    <x v="3"/>
    <x v="0"/>
    <x v="0"/>
    <s v="Top Seller"/>
  </r>
  <r>
    <s v="TI274"/>
    <x v="161"/>
    <x v="0"/>
    <s v="Karan Kinkar"/>
    <s v="Biscuits"/>
    <x v="8"/>
    <n v="4"/>
    <n v="12000"/>
    <x v="0"/>
    <n v="48000"/>
    <x v="1"/>
    <n v="24000"/>
    <x v="8"/>
    <x v="3"/>
    <x v="0"/>
    <x v="0"/>
    <s v="Top Seller"/>
  </r>
  <r>
    <s v="TI275"/>
    <x v="162"/>
    <x v="0"/>
    <s v="Sneha Ingole"/>
    <s v="Cooking"/>
    <x v="3"/>
    <n v="10"/>
    <n v="12000"/>
    <x v="0"/>
    <n v="120000"/>
    <x v="32"/>
    <n v="60000"/>
    <x v="9"/>
    <x v="5"/>
    <x v="0"/>
    <x v="0"/>
    <s v="Normal"/>
  </r>
  <r>
    <s v="TI276"/>
    <x v="163"/>
    <x v="0"/>
    <s v="Ruchita Ghule"/>
    <s v="Lentils"/>
    <x v="7"/>
    <n v="3"/>
    <n v="1500"/>
    <x v="4"/>
    <n v="4500"/>
    <x v="12"/>
    <n v="4500"/>
    <x v="4"/>
    <x v="0"/>
    <x v="2"/>
    <x v="0"/>
    <s v="Normal"/>
  </r>
  <r>
    <s v="TI277"/>
    <x v="164"/>
    <x v="1"/>
    <s v="Kartik Sawant"/>
    <s v="Toothpaste"/>
    <x v="2"/>
    <n v="3"/>
    <n v="6000"/>
    <x v="1"/>
    <n v="18000"/>
    <x v="26"/>
    <n v="12000"/>
    <x v="3"/>
    <x v="4"/>
    <x v="1"/>
    <x v="0"/>
    <s v="Top Seller"/>
  </r>
  <r>
    <s v="TI278"/>
    <x v="165"/>
    <x v="2"/>
    <s v="Kondiba Tayde"/>
    <s v="Fruits"/>
    <x v="4"/>
    <n v="9"/>
    <n v="35000"/>
    <x v="3"/>
    <n v="315000"/>
    <x v="36"/>
    <n v="153000"/>
    <x v="3"/>
    <x v="5"/>
    <x v="1"/>
    <x v="0"/>
    <s v="Top Seller"/>
  </r>
  <r>
    <s v="TI279"/>
    <x v="166"/>
    <x v="3"/>
    <s v="Kartik Mane"/>
    <s v="Biscuits"/>
    <x v="2"/>
    <n v="7"/>
    <n v="12000"/>
    <x v="0"/>
    <n v="84000"/>
    <x v="0"/>
    <n v="42000"/>
    <x v="5"/>
    <x v="0"/>
    <x v="3"/>
    <x v="0"/>
    <s v="Top Seller"/>
  </r>
  <r>
    <s v="TI280"/>
    <x v="167"/>
    <x v="2"/>
    <s v="Raj Butte"/>
    <s v="Vegetables"/>
    <x v="2"/>
    <n v="6"/>
    <n v="20000"/>
    <x v="2"/>
    <n v="120000"/>
    <x v="32"/>
    <n v="60000"/>
    <x v="2"/>
    <x v="0"/>
    <x v="2"/>
    <x v="0"/>
    <s v="Top Seller"/>
  </r>
  <r>
    <s v="TI281"/>
    <x v="168"/>
    <x v="0"/>
    <s v="Sakshi Sawant"/>
    <s v="Vegetables"/>
    <x v="8"/>
    <n v="7"/>
    <n v="35000"/>
    <x v="3"/>
    <n v="245000"/>
    <x v="9"/>
    <n v="119000"/>
    <x v="8"/>
    <x v="3"/>
    <x v="0"/>
    <x v="0"/>
    <s v="Top Seller"/>
  </r>
  <r>
    <s v="TI282"/>
    <x v="49"/>
    <x v="3"/>
    <s v="Kartik Nirfhal"/>
    <s v="Cooking"/>
    <x v="4"/>
    <n v="8"/>
    <n v="20000"/>
    <x v="2"/>
    <n v="160000"/>
    <x v="38"/>
    <n v="80000"/>
    <x v="3"/>
    <x v="4"/>
    <x v="1"/>
    <x v="0"/>
    <s v="Normal"/>
  </r>
  <r>
    <s v="TI283"/>
    <x v="169"/>
    <x v="1"/>
    <s v="Maroti Fartade"/>
    <s v="Biscuits"/>
    <x v="4"/>
    <n v="4"/>
    <n v="6000"/>
    <x v="1"/>
    <n v="24000"/>
    <x v="25"/>
    <n v="16000"/>
    <x v="9"/>
    <x v="4"/>
    <x v="0"/>
    <x v="0"/>
    <s v="Top Seller"/>
  </r>
  <r>
    <s v="TI284"/>
    <x v="170"/>
    <x v="1"/>
    <s v="Sahil Mali"/>
    <s v="Biscuits"/>
    <x v="6"/>
    <n v="7"/>
    <n v="6000"/>
    <x v="1"/>
    <n v="42000"/>
    <x v="41"/>
    <n v="28000"/>
    <x v="11"/>
    <x v="4"/>
    <x v="3"/>
    <x v="0"/>
    <s v="Top Seller"/>
  </r>
  <r>
    <s v="TI285"/>
    <x v="171"/>
    <x v="3"/>
    <s v="Sachin Mane"/>
    <s v="Detergent"/>
    <x v="5"/>
    <n v="8"/>
    <n v="12000"/>
    <x v="0"/>
    <n v="96000"/>
    <x v="42"/>
    <n v="48000"/>
    <x v="0"/>
    <x v="4"/>
    <x v="0"/>
    <x v="0"/>
    <s v="Normal"/>
  </r>
  <r>
    <s v="TI286"/>
    <x v="172"/>
    <x v="2"/>
    <s v="Rohan Pawar"/>
    <s v="Sugar"/>
    <x v="9"/>
    <n v="6"/>
    <n v="1500"/>
    <x v="4"/>
    <n v="9000"/>
    <x v="17"/>
    <n v="9000"/>
    <x v="4"/>
    <x v="5"/>
    <x v="2"/>
    <x v="0"/>
    <s v="Top Seller"/>
  </r>
  <r>
    <s v="TI287"/>
    <x v="173"/>
    <x v="3"/>
    <s v="Ruchita Bhise"/>
    <s v="Rice"/>
    <x v="11"/>
    <n v="1"/>
    <n v="35000"/>
    <x v="3"/>
    <n v="35000"/>
    <x v="35"/>
    <n v="17000"/>
    <x v="6"/>
    <x v="0"/>
    <x v="2"/>
    <x v="0"/>
    <s v="Normal"/>
  </r>
  <r>
    <s v="TI288"/>
    <x v="174"/>
    <x v="0"/>
    <s v="Amruta Fartade"/>
    <s v="Bread"/>
    <x v="10"/>
    <n v="1"/>
    <n v="12000"/>
    <x v="0"/>
    <n v="12000"/>
    <x v="17"/>
    <n v="6000"/>
    <x v="4"/>
    <x v="4"/>
    <x v="2"/>
    <x v="0"/>
    <s v="Top Seller"/>
  </r>
  <r>
    <s v="TI289"/>
    <x v="175"/>
    <x v="1"/>
    <s v="Sneha Yede"/>
    <s v="Wheat"/>
    <x v="1"/>
    <n v="6"/>
    <n v="12000"/>
    <x v="0"/>
    <n v="72000"/>
    <x v="3"/>
    <n v="36000"/>
    <x v="1"/>
    <x v="5"/>
    <x v="1"/>
    <x v="0"/>
    <s v="Top Seller"/>
  </r>
  <r>
    <s v="TI290"/>
    <x v="176"/>
    <x v="1"/>
    <s v="Dinesh Gaikwad"/>
    <s v="Tea"/>
    <x v="0"/>
    <n v="4"/>
    <n v="20000"/>
    <x v="2"/>
    <n v="80000"/>
    <x v="30"/>
    <n v="40000"/>
    <x v="3"/>
    <x v="1"/>
    <x v="1"/>
    <x v="0"/>
    <s v="Top Seller"/>
  </r>
  <r>
    <s v="TI291"/>
    <x v="14"/>
    <x v="1"/>
    <s v="Sakshi Ghule"/>
    <s v="Butter"/>
    <x v="2"/>
    <n v="6"/>
    <n v="20000"/>
    <x v="2"/>
    <n v="120000"/>
    <x v="32"/>
    <n v="60000"/>
    <x v="0"/>
    <x v="1"/>
    <x v="0"/>
    <x v="0"/>
    <s v="Top Seller"/>
  </r>
  <r>
    <s v="TI292"/>
    <x v="177"/>
    <x v="1"/>
    <s v="Saloni Dange"/>
    <s v="Fruits"/>
    <x v="2"/>
    <n v="6"/>
    <n v="12000"/>
    <x v="0"/>
    <n v="72000"/>
    <x v="3"/>
    <n v="36000"/>
    <x v="8"/>
    <x v="4"/>
    <x v="0"/>
    <x v="0"/>
    <s v="Top Seller"/>
  </r>
  <r>
    <s v="TI293"/>
    <x v="178"/>
    <x v="0"/>
    <s v="Raj Butte"/>
    <s v="Eggs"/>
    <x v="2"/>
    <n v="6"/>
    <n v="20000"/>
    <x v="2"/>
    <n v="120000"/>
    <x v="32"/>
    <n v="60000"/>
    <x v="4"/>
    <x v="5"/>
    <x v="2"/>
    <x v="0"/>
    <s v="Normal"/>
  </r>
  <r>
    <s v="TI294"/>
    <x v="179"/>
    <x v="3"/>
    <s v="Ganesh Nirfhal"/>
    <s v="Vegetables"/>
    <x v="0"/>
    <n v="4"/>
    <n v="6000"/>
    <x v="1"/>
    <n v="24000"/>
    <x v="25"/>
    <n v="16000"/>
    <x v="4"/>
    <x v="0"/>
    <x v="2"/>
    <x v="0"/>
    <s v="Top Seller"/>
  </r>
  <r>
    <s v="TI295"/>
    <x v="180"/>
    <x v="2"/>
    <s v="Asha Mulgir"/>
    <s v="Milk"/>
    <x v="1"/>
    <n v="7"/>
    <n v="20000"/>
    <x v="2"/>
    <n v="140000"/>
    <x v="14"/>
    <n v="70000"/>
    <x v="1"/>
    <x v="3"/>
    <x v="1"/>
    <x v="0"/>
    <s v="Top Seller"/>
  </r>
  <r>
    <s v="TI296"/>
    <x v="181"/>
    <x v="1"/>
    <s v="Sneha Fartade"/>
    <s v="Tea"/>
    <x v="3"/>
    <n v="9"/>
    <n v="35000"/>
    <x v="3"/>
    <n v="315000"/>
    <x v="36"/>
    <n v="153000"/>
    <x v="10"/>
    <x v="5"/>
    <x v="1"/>
    <x v="0"/>
    <s v="Top Seller"/>
  </r>
  <r>
    <s v="TI297"/>
    <x v="182"/>
    <x v="3"/>
    <s v="Maroti Kinkar"/>
    <s v="Lentils"/>
    <x v="6"/>
    <n v="4"/>
    <n v="35000"/>
    <x v="3"/>
    <n v="140000"/>
    <x v="23"/>
    <n v="68000"/>
    <x v="0"/>
    <x v="2"/>
    <x v="0"/>
    <x v="0"/>
    <s v="Top Seller"/>
  </r>
  <r>
    <s v="TI298"/>
    <x v="183"/>
    <x v="0"/>
    <s v="Kartik Pawar"/>
    <s v="Detergent"/>
    <x v="10"/>
    <n v="7"/>
    <n v="6000"/>
    <x v="1"/>
    <n v="42000"/>
    <x v="41"/>
    <n v="28000"/>
    <x v="3"/>
    <x v="5"/>
    <x v="1"/>
    <x v="0"/>
    <s v="Normal"/>
  </r>
  <r>
    <s v="TI299"/>
    <x v="184"/>
    <x v="2"/>
    <s v="Sachin Kale"/>
    <s v="Wheat"/>
    <x v="2"/>
    <n v="3"/>
    <n v="6000"/>
    <x v="1"/>
    <n v="18000"/>
    <x v="26"/>
    <n v="12000"/>
    <x v="9"/>
    <x v="3"/>
    <x v="0"/>
    <x v="0"/>
    <s v="Top Seller"/>
  </r>
  <r>
    <s v="TI300"/>
    <x v="185"/>
    <x v="4"/>
    <s v="Maroti Mane"/>
    <s v="Vegetables"/>
    <x v="12"/>
    <n v="4"/>
    <n v="20000"/>
    <x v="2"/>
    <n v="80000"/>
    <x v="30"/>
    <n v="40000"/>
    <x v="2"/>
    <x v="2"/>
    <x v="2"/>
    <x v="0"/>
    <s v="Normal"/>
  </r>
</pivotCacheRecords>
</file>

<file path=xl/pivotCache/pivotCacheRecords2.xml><?xml version="1.0" encoding="utf-8"?>
<pivotCacheRecords xmlns="http://schemas.openxmlformats.org/spreadsheetml/2006/main" xmlns:r="http://schemas.openxmlformats.org/officeDocument/2006/relationships" count="200">
  <r>
    <s v="TI101"/>
    <x v="0"/>
    <s v="South"/>
    <s v="Kiran Thorat"/>
    <s v="Rice"/>
    <x v="0"/>
    <x v="0"/>
    <n v="12000"/>
    <x v="0"/>
    <n v="84000"/>
    <n v="126000"/>
    <x v="0"/>
    <x v="0"/>
    <n v="8"/>
    <x v="0"/>
    <s v="Q3"/>
    <x v="0"/>
    <s v="Top Seller"/>
    <x v="0"/>
  </r>
  <r>
    <s v="TI102"/>
    <x v="1"/>
    <s v="West"/>
    <s v="Maroti Bhise"/>
    <s v="Cheese"/>
    <x v="1"/>
    <x v="1"/>
    <n v="12000"/>
    <x v="0"/>
    <n v="48000"/>
    <n v="72000"/>
    <x v="1"/>
    <x v="1"/>
    <n v="11"/>
    <x v="1"/>
    <s v="Q4"/>
    <x v="0"/>
    <s v="Normal"/>
    <x v="0"/>
  </r>
  <r>
    <s v="TI103"/>
    <x v="2"/>
    <s v="East"/>
    <s v="Sachin Kale"/>
    <s v="Tea"/>
    <x v="2"/>
    <x v="2"/>
    <n v="6000"/>
    <x v="1"/>
    <n v="12000"/>
    <n v="20000"/>
    <x v="2"/>
    <x v="2"/>
    <n v="5"/>
    <x v="2"/>
    <s v="Q2"/>
    <x v="0"/>
    <s v="Top Seller"/>
    <x v="1"/>
  </r>
  <r>
    <s v="TI104"/>
    <x v="3"/>
    <s v="North"/>
    <s v="Satyam Dange"/>
    <s v="Eggs"/>
    <x v="1"/>
    <x v="3"/>
    <n v="12000"/>
    <x v="0"/>
    <n v="72000"/>
    <n v="108000"/>
    <x v="3"/>
    <x v="3"/>
    <n v="10"/>
    <x v="0"/>
    <s v="Q4"/>
    <x v="0"/>
    <s v="Top Seller"/>
    <x v="0"/>
  </r>
  <r>
    <s v="TI105"/>
    <x v="4"/>
    <s v="East"/>
    <s v="Ganesh Mali"/>
    <s v="Coffee"/>
    <x v="3"/>
    <x v="2"/>
    <n v="20000"/>
    <x v="2"/>
    <n v="40000"/>
    <n v="60000"/>
    <x v="1"/>
    <x v="4"/>
    <n v="11"/>
    <x v="0"/>
    <s v="Q4"/>
    <x v="0"/>
    <s v="Top Seller"/>
    <x v="1"/>
  </r>
  <r>
    <s v="TI106"/>
    <x v="5"/>
    <s v="South"/>
    <s v="Shivanad Butte"/>
    <s v="Lentils"/>
    <x v="2"/>
    <x v="1"/>
    <n v="12000"/>
    <x v="0"/>
    <n v="48000"/>
    <n v="72000"/>
    <x v="2"/>
    <x v="1"/>
    <n v="5"/>
    <x v="3"/>
    <s v="Q2"/>
    <x v="0"/>
    <s v="Top Seller"/>
    <x v="0"/>
  </r>
  <r>
    <s v="TI107"/>
    <x v="6"/>
    <s v="North"/>
    <s v="Raj Kinkar"/>
    <s v="Eggs"/>
    <x v="2"/>
    <x v="4"/>
    <n v="6000"/>
    <x v="1"/>
    <n v="60000"/>
    <n v="100000"/>
    <x v="4"/>
    <x v="5"/>
    <n v="4"/>
    <x v="1"/>
    <s v="Q2"/>
    <x v="0"/>
    <s v="Top Seller"/>
    <x v="2"/>
  </r>
  <r>
    <s v="TI108"/>
    <x v="7"/>
    <s v="West"/>
    <s v="Kondiba Mulgir"/>
    <s v="Fruits"/>
    <x v="2"/>
    <x v="3"/>
    <n v="35000"/>
    <x v="3"/>
    <n v="210000"/>
    <n v="312000"/>
    <x v="5"/>
    <x v="6"/>
    <n v="3"/>
    <x v="3"/>
    <s v="Q1"/>
    <x v="0"/>
    <s v="Top Seller"/>
    <x v="0"/>
  </r>
  <r>
    <s v="TI109"/>
    <x v="8"/>
    <s v="West"/>
    <s v="Sanket Jadhav"/>
    <s v="Vegetables"/>
    <x v="4"/>
    <x v="5"/>
    <n v="35000"/>
    <x v="3"/>
    <n v="175000"/>
    <n v="260000"/>
    <x v="6"/>
    <x v="7"/>
    <n v="6"/>
    <x v="1"/>
    <s v="Q2"/>
    <x v="0"/>
    <s v="Normal"/>
    <x v="0"/>
  </r>
  <r>
    <s v="TI110"/>
    <x v="9"/>
    <s v="North"/>
    <s v="Sundar Ingole"/>
    <s v="Biscuits"/>
    <x v="1"/>
    <x v="2"/>
    <n v="1500"/>
    <x v="4"/>
    <n v="3000"/>
    <n v="6000"/>
    <x v="1"/>
    <x v="8"/>
    <n v="11"/>
    <x v="1"/>
    <s v="Q4"/>
    <x v="0"/>
    <s v="Top Seller"/>
    <x v="1"/>
  </r>
  <r>
    <s v="TI111"/>
    <x v="10"/>
    <s v="East"/>
    <s v="Pradip Ingle"/>
    <s v="Coffee"/>
    <x v="2"/>
    <x v="0"/>
    <n v="35000"/>
    <x v="3"/>
    <n v="245000"/>
    <n v="364000"/>
    <x v="7"/>
    <x v="9"/>
    <n v="1"/>
    <x v="1"/>
    <s v="Q1"/>
    <x v="0"/>
    <s v="Top Seller"/>
    <x v="0"/>
  </r>
  <r>
    <s v="TI112"/>
    <x v="11"/>
    <s v="North"/>
    <s v="Kartik Tandle"/>
    <s v="Fruits"/>
    <x v="5"/>
    <x v="6"/>
    <n v="6000"/>
    <x v="1"/>
    <n v="54000"/>
    <n v="90000"/>
    <x v="8"/>
    <x v="3"/>
    <n v="9"/>
    <x v="4"/>
    <s v="Q3"/>
    <x v="0"/>
    <s v="Top Seller"/>
    <x v="0"/>
  </r>
  <r>
    <s v="TI113"/>
    <x v="12"/>
    <s v="South"/>
    <s v="Sneha Nirfhal"/>
    <s v="Salt"/>
    <x v="6"/>
    <x v="0"/>
    <n v="12000"/>
    <x v="0"/>
    <n v="84000"/>
    <n v="126000"/>
    <x v="2"/>
    <x v="0"/>
    <n v="5"/>
    <x v="3"/>
    <s v="Q2"/>
    <x v="0"/>
    <s v="Top Seller"/>
    <x v="0"/>
  </r>
  <r>
    <s v="TI114"/>
    <x v="13"/>
    <s v="West"/>
    <s v="Rutuja Pawar"/>
    <s v="Detergent"/>
    <x v="1"/>
    <x v="7"/>
    <n v="35000"/>
    <x v="3"/>
    <n v="105000"/>
    <n v="156000"/>
    <x v="9"/>
    <x v="10"/>
    <n v="7"/>
    <x v="0"/>
    <s v="Q3"/>
    <x v="0"/>
    <s v="Normal"/>
    <x v="0"/>
  </r>
  <r>
    <s v="TI115"/>
    <x v="14"/>
    <s v="West"/>
    <s v="Sakshi Jagtap"/>
    <s v="Tea"/>
    <x v="1"/>
    <x v="7"/>
    <n v="1500"/>
    <x v="4"/>
    <n v="4500"/>
    <n v="9000"/>
    <x v="0"/>
    <x v="11"/>
    <n v="8"/>
    <x v="1"/>
    <s v="Q3"/>
    <x v="0"/>
    <s v="Top Seller"/>
    <x v="0"/>
  </r>
  <r>
    <s v="TI116"/>
    <x v="15"/>
    <s v="West"/>
    <s v="Saloni Rahikar"/>
    <s v="Coffee"/>
    <x v="4"/>
    <x v="6"/>
    <n v="20000"/>
    <x v="2"/>
    <n v="180000"/>
    <n v="270000"/>
    <x v="7"/>
    <x v="12"/>
    <n v="1"/>
    <x v="0"/>
    <s v="Q1"/>
    <x v="0"/>
    <s v="Top Seller"/>
    <x v="0"/>
  </r>
  <r>
    <s v="TI117"/>
    <x v="16"/>
    <s v="West"/>
    <s v="Amruta Mane"/>
    <s v="Biscuits"/>
    <x v="7"/>
    <x v="0"/>
    <n v="20000"/>
    <x v="2"/>
    <n v="140000"/>
    <n v="210000"/>
    <x v="9"/>
    <x v="13"/>
    <n v="7"/>
    <x v="0"/>
    <s v="Q3"/>
    <x v="0"/>
    <s v="Normal"/>
    <x v="0"/>
  </r>
  <r>
    <s v="TI118"/>
    <x v="17"/>
    <s v="South"/>
    <s v="Mona Yede"/>
    <s v="Toothpaste"/>
    <x v="8"/>
    <x v="0"/>
    <n v="1500"/>
    <x v="4"/>
    <n v="10500"/>
    <n v="21000"/>
    <x v="7"/>
    <x v="14"/>
    <n v="1"/>
    <x v="5"/>
    <s v="Q1"/>
    <x v="0"/>
    <s v="Top Seller"/>
    <x v="0"/>
  </r>
  <r>
    <s v="TI119"/>
    <x v="18"/>
    <s v="North"/>
    <s v="Priynka Gaikwad"/>
    <s v="Cooking"/>
    <x v="5"/>
    <x v="5"/>
    <n v="20000"/>
    <x v="2"/>
    <n v="100000"/>
    <n v="150000"/>
    <x v="0"/>
    <x v="15"/>
    <n v="8"/>
    <x v="2"/>
    <s v="Q3"/>
    <x v="0"/>
    <s v="Normal"/>
    <x v="0"/>
  </r>
  <r>
    <s v="TI120"/>
    <x v="19"/>
    <s v="East"/>
    <s v="Sahil Bhole"/>
    <s v="Sugar"/>
    <x v="7"/>
    <x v="8"/>
    <n v="12000"/>
    <x v="0"/>
    <n v="12000"/>
    <n v="18000"/>
    <x v="3"/>
    <x v="16"/>
    <n v="10"/>
    <x v="3"/>
    <s v="Q4"/>
    <x v="0"/>
    <s v="Normal"/>
    <x v="1"/>
  </r>
  <r>
    <s v="TI121"/>
    <x v="20"/>
    <s v="West"/>
    <s v="Dinesh Ghule"/>
    <s v="Soap"/>
    <x v="0"/>
    <x v="8"/>
    <n v="1500"/>
    <x v="4"/>
    <n v="1500"/>
    <n v="3000"/>
    <x v="6"/>
    <x v="17"/>
    <n v="6"/>
    <x v="0"/>
    <s v="Q2"/>
    <x v="0"/>
    <s v="Normal"/>
    <x v="1"/>
  </r>
  <r>
    <s v="TI122"/>
    <x v="21"/>
    <s v="North"/>
    <s v="Ruchita Fartade"/>
    <s v="Cheese"/>
    <x v="3"/>
    <x v="6"/>
    <n v="1500"/>
    <x v="4"/>
    <n v="13500"/>
    <n v="27000"/>
    <x v="4"/>
    <x v="18"/>
    <n v="4"/>
    <x v="5"/>
    <s v="Q2"/>
    <x v="0"/>
    <s v="Top Seller"/>
    <x v="0"/>
  </r>
  <r>
    <s v="TI123"/>
    <x v="22"/>
    <s v="South"/>
    <s v="Asha Dhokar"/>
    <s v="Lentils"/>
    <x v="2"/>
    <x v="2"/>
    <n v="20000"/>
    <x v="2"/>
    <n v="40000"/>
    <n v="60000"/>
    <x v="2"/>
    <x v="4"/>
    <n v="5"/>
    <x v="2"/>
    <s v="Q2"/>
    <x v="0"/>
    <s v="Top Seller"/>
    <x v="1"/>
  </r>
  <r>
    <s v="TI124"/>
    <x v="23"/>
    <s v="East"/>
    <s v="Vaibhav Tayde"/>
    <s v="Vegetables"/>
    <x v="1"/>
    <x v="4"/>
    <n v="20000"/>
    <x v="2"/>
    <n v="200000"/>
    <n v="300000"/>
    <x v="8"/>
    <x v="19"/>
    <n v="9"/>
    <x v="2"/>
    <s v="Q3"/>
    <x v="0"/>
    <s v="Top Seller"/>
    <x v="2"/>
  </r>
  <r>
    <s v="TI125"/>
    <x v="24"/>
    <s v="West"/>
    <s v="Rohan Sawant"/>
    <s v="Coffee"/>
    <x v="2"/>
    <x v="0"/>
    <n v="12000"/>
    <x v="0"/>
    <n v="84000"/>
    <n v="126000"/>
    <x v="10"/>
    <x v="0"/>
    <n v="12"/>
    <x v="5"/>
    <s v="Q4"/>
    <x v="0"/>
    <s v="Normal"/>
    <x v="0"/>
  </r>
  <r>
    <s v="TI126"/>
    <x v="25"/>
    <s v="South"/>
    <s v="Karan Puri"/>
    <s v="Fruits"/>
    <x v="8"/>
    <x v="2"/>
    <n v="6000"/>
    <x v="1"/>
    <n v="12000"/>
    <n v="20000"/>
    <x v="6"/>
    <x v="2"/>
    <n v="6"/>
    <x v="1"/>
    <s v="Q2"/>
    <x v="0"/>
    <s v="Normal"/>
    <x v="1"/>
  </r>
  <r>
    <s v="TI127"/>
    <x v="26"/>
    <s v="North"/>
    <s v="Pradip Kinkar"/>
    <s v="Cooking"/>
    <x v="9"/>
    <x v="8"/>
    <n v="6000"/>
    <x v="1"/>
    <n v="6000"/>
    <n v="10000"/>
    <x v="6"/>
    <x v="20"/>
    <n v="6"/>
    <x v="4"/>
    <s v="Q2"/>
    <x v="0"/>
    <s v="Normal"/>
    <x v="1"/>
  </r>
  <r>
    <s v="TI128"/>
    <x v="27"/>
    <s v="North"/>
    <s v="Ganesh Gaikwad"/>
    <s v="Rice"/>
    <x v="6"/>
    <x v="2"/>
    <n v="12000"/>
    <x v="0"/>
    <n v="24000"/>
    <n v="36000"/>
    <x v="3"/>
    <x v="21"/>
    <n v="10"/>
    <x v="1"/>
    <s v="Q4"/>
    <x v="0"/>
    <s v="Top Seller"/>
    <x v="1"/>
  </r>
  <r>
    <s v="TI129"/>
    <x v="28"/>
    <s v="East"/>
    <s v="Maroti Jagtap"/>
    <s v="Detergent"/>
    <x v="7"/>
    <x v="6"/>
    <n v="6000"/>
    <x v="1"/>
    <n v="54000"/>
    <n v="90000"/>
    <x v="0"/>
    <x v="3"/>
    <n v="8"/>
    <x v="2"/>
    <s v="Q3"/>
    <x v="0"/>
    <s v="Top Seller"/>
    <x v="0"/>
  </r>
  <r>
    <s v="TI130"/>
    <x v="29"/>
    <s v="North"/>
    <s v="Ruchita Tandle"/>
    <s v="Toothpaste"/>
    <x v="0"/>
    <x v="1"/>
    <n v="35000"/>
    <x v="3"/>
    <n v="140000"/>
    <n v="208000"/>
    <x v="11"/>
    <x v="22"/>
    <n v="2"/>
    <x v="3"/>
    <s v="Q1"/>
    <x v="0"/>
    <s v="Top Seller"/>
    <x v="0"/>
  </r>
  <r>
    <s v="TI131"/>
    <x v="30"/>
    <s v="East"/>
    <s v="Rutuja Bhise"/>
    <s v="Cheese"/>
    <x v="7"/>
    <x v="4"/>
    <n v="20000"/>
    <x v="2"/>
    <n v="200000"/>
    <n v="300000"/>
    <x v="10"/>
    <x v="19"/>
    <n v="12"/>
    <x v="0"/>
    <s v="Q4"/>
    <x v="0"/>
    <s v="Normal"/>
    <x v="2"/>
  </r>
  <r>
    <s v="TI132"/>
    <x v="31"/>
    <s v="West"/>
    <s v="Ruchita Tayde"/>
    <s v="Toothpaste"/>
    <x v="2"/>
    <x v="9"/>
    <n v="1500"/>
    <x v="4"/>
    <n v="12000"/>
    <n v="24000"/>
    <x v="11"/>
    <x v="21"/>
    <n v="2"/>
    <x v="2"/>
    <s v="Q1"/>
    <x v="0"/>
    <s v="Top Seller"/>
    <x v="0"/>
  </r>
  <r>
    <s v="TI133"/>
    <x v="32"/>
    <s v="South"/>
    <s v="Mona Mane"/>
    <s v="Vegetables"/>
    <x v="9"/>
    <x v="5"/>
    <n v="12000"/>
    <x v="0"/>
    <n v="60000"/>
    <n v="90000"/>
    <x v="11"/>
    <x v="23"/>
    <n v="2"/>
    <x v="1"/>
    <s v="Q1"/>
    <x v="0"/>
    <s v="Top Seller"/>
    <x v="0"/>
  </r>
  <r>
    <s v="TI134"/>
    <x v="33"/>
    <s v="West"/>
    <s v="Dinesh Yede"/>
    <s v="Rice"/>
    <x v="0"/>
    <x v="1"/>
    <n v="12000"/>
    <x v="0"/>
    <n v="48000"/>
    <n v="72000"/>
    <x v="8"/>
    <x v="1"/>
    <n v="9"/>
    <x v="5"/>
    <s v="Q3"/>
    <x v="0"/>
    <s v="Normal"/>
    <x v="0"/>
  </r>
  <r>
    <s v="TI135"/>
    <x v="34"/>
    <s v="South"/>
    <s v="Priynka Rahikar"/>
    <s v="Milk"/>
    <x v="1"/>
    <x v="1"/>
    <n v="6000"/>
    <x v="1"/>
    <n v="24000"/>
    <n v="40000"/>
    <x v="0"/>
    <x v="24"/>
    <n v="8"/>
    <x v="3"/>
    <s v="Q3"/>
    <x v="0"/>
    <s v="Top Seller"/>
    <x v="0"/>
  </r>
  <r>
    <s v="TI136"/>
    <x v="35"/>
    <s v="West"/>
    <s v="Dinesh Tayde"/>
    <s v="Tea"/>
    <x v="1"/>
    <x v="7"/>
    <n v="35000"/>
    <x v="3"/>
    <n v="105000"/>
    <n v="156000"/>
    <x v="10"/>
    <x v="10"/>
    <n v="12"/>
    <x v="2"/>
    <s v="Q4"/>
    <x v="0"/>
    <s v="Normal"/>
    <x v="0"/>
  </r>
  <r>
    <s v="TI137"/>
    <x v="36"/>
    <s v="North"/>
    <s v="Sakshi Bhole"/>
    <s v="Tea"/>
    <x v="2"/>
    <x v="7"/>
    <n v="1500"/>
    <x v="4"/>
    <n v="4500"/>
    <n v="9000"/>
    <x v="5"/>
    <x v="11"/>
    <n v="3"/>
    <x v="1"/>
    <s v="Q1"/>
    <x v="0"/>
    <s v="Normal"/>
    <x v="0"/>
  </r>
  <r>
    <s v="TI138"/>
    <x v="37"/>
    <s v="South"/>
    <s v="Mona Dhokar"/>
    <s v="Fruits"/>
    <x v="7"/>
    <x v="4"/>
    <n v="1500"/>
    <x v="4"/>
    <n v="15000"/>
    <n v="30000"/>
    <x v="7"/>
    <x v="25"/>
    <n v="1"/>
    <x v="2"/>
    <s v="Q1"/>
    <x v="0"/>
    <s v="Top Seller"/>
    <x v="2"/>
  </r>
  <r>
    <s v="TI139"/>
    <x v="38"/>
    <s v="West"/>
    <s v="Sakshi Rahikar"/>
    <s v="Toothpaste"/>
    <x v="0"/>
    <x v="5"/>
    <n v="35000"/>
    <x v="3"/>
    <n v="175000"/>
    <n v="260000"/>
    <x v="2"/>
    <x v="7"/>
    <n v="5"/>
    <x v="3"/>
    <s v="Q2"/>
    <x v="0"/>
    <s v="Normal"/>
    <x v="0"/>
  </r>
  <r>
    <s v="TI140"/>
    <x v="39"/>
    <s v="West"/>
    <s v="Kiran Bhise"/>
    <s v="Butter"/>
    <x v="0"/>
    <x v="5"/>
    <n v="1500"/>
    <x v="4"/>
    <n v="7500"/>
    <n v="15000"/>
    <x v="1"/>
    <x v="26"/>
    <n v="11"/>
    <x v="1"/>
    <s v="Q4"/>
    <x v="0"/>
    <s v="Normal"/>
    <x v="0"/>
  </r>
  <r>
    <s v="TI141"/>
    <x v="40"/>
    <s v="East"/>
    <s v="Rutuja Ingle"/>
    <s v="Milk"/>
    <x v="7"/>
    <x v="8"/>
    <n v="20000"/>
    <x v="2"/>
    <n v="20000"/>
    <n v="30000"/>
    <x v="11"/>
    <x v="27"/>
    <n v="2"/>
    <x v="3"/>
    <s v="Q1"/>
    <x v="0"/>
    <s v="Top Seller"/>
    <x v="1"/>
  </r>
  <r>
    <s v="TI142"/>
    <x v="41"/>
    <s v="East"/>
    <s v="Vaibhav Yede"/>
    <s v="Shampoo"/>
    <x v="0"/>
    <x v="6"/>
    <n v="6000"/>
    <x v="1"/>
    <n v="54000"/>
    <n v="90000"/>
    <x v="6"/>
    <x v="3"/>
    <n v="6"/>
    <x v="0"/>
    <s v="Q2"/>
    <x v="0"/>
    <s v="Top Seller"/>
    <x v="0"/>
  </r>
  <r>
    <s v="TI143"/>
    <x v="42"/>
    <s v="South"/>
    <s v="Priynka Puri"/>
    <s v="Butter"/>
    <x v="5"/>
    <x v="9"/>
    <n v="35000"/>
    <x v="3"/>
    <n v="280000"/>
    <n v="416000"/>
    <x v="5"/>
    <x v="28"/>
    <n v="3"/>
    <x v="5"/>
    <s v="Q1"/>
    <x v="0"/>
    <s v="Top Seller"/>
    <x v="0"/>
  </r>
  <r>
    <s v="TI144"/>
    <x v="19"/>
    <s v="West"/>
    <s v="Ruchita Fartade"/>
    <s v="Sugar"/>
    <x v="7"/>
    <x v="4"/>
    <n v="6000"/>
    <x v="1"/>
    <n v="60000"/>
    <n v="100000"/>
    <x v="3"/>
    <x v="5"/>
    <n v="10"/>
    <x v="3"/>
    <s v="Q4"/>
    <x v="0"/>
    <s v="Top Seller"/>
    <x v="2"/>
  </r>
  <r>
    <s v="TI145"/>
    <x v="43"/>
    <s v="South"/>
    <s v="Raj Kinkar"/>
    <s v="Shampoo"/>
    <x v="2"/>
    <x v="7"/>
    <n v="12000"/>
    <x v="0"/>
    <n v="36000"/>
    <n v="54000"/>
    <x v="4"/>
    <x v="29"/>
    <n v="4"/>
    <x v="2"/>
    <s v="Q2"/>
    <x v="0"/>
    <s v="Top Seller"/>
    <x v="0"/>
  </r>
  <r>
    <s v="TI146"/>
    <x v="44"/>
    <s v="East"/>
    <s v="Ganesh Ghule"/>
    <s v="Fruits"/>
    <x v="5"/>
    <x v="3"/>
    <n v="6000"/>
    <x v="1"/>
    <n v="36000"/>
    <n v="60000"/>
    <x v="8"/>
    <x v="1"/>
    <n v="9"/>
    <x v="2"/>
    <s v="Q3"/>
    <x v="0"/>
    <s v="Normal"/>
    <x v="0"/>
  </r>
  <r>
    <s v="TI147"/>
    <x v="45"/>
    <s v="West"/>
    <s v="Maroti Mali"/>
    <s v="Sugar"/>
    <x v="2"/>
    <x v="9"/>
    <n v="1500"/>
    <x v="4"/>
    <n v="12000"/>
    <n v="24000"/>
    <x v="1"/>
    <x v="21"/>
    <n v="11"/>
    <x v="5"/>
    <s v="Q4"/>
    <x v="0"/>
    <s v="Top Seller"/>
    <x v="0"/>
  </r>
  <r>
    <s v="TI148"/>
    <x v="46"/>
    <s v="East"/>
    <s v="Vaibhav Mane"/>
    <s v="Vegetables"/>
    <x v="0"/>
    <x v="0"/>
    <n v="12000"/>
    <x v="0"/>
    <n v="84000"/>
    <n v="126000"/>
    <x v="11"/>
    <x v="0"/>
    <n v="2"/>
    <x v="3"/>
    <s v="Q1"/>
    <x v="0"/>
    <s v="Top Seller"/>
    <x v="0"/>
  </r>
  <r>
    <s v="TI149"/>
    <x v="47"/>
    <s v="North"/>
    <s v="Shivanad Sawant"/>
    <s v="Milk"/>
    <x v="7"/>
    <x v="3"/>
    <n v="6000"/>
    <x v="1"/>
    <n v="36000"/>
    <n v="60000"/>
    <x v="9"/>
    <x v="1"/>
    <n v="7"/>
    <x v="1"/>
    <s v="Q3"/>
    <x v="0"/>
    <s v="Normal"/>
    <x v="0"/>
  </r>
  <r>
    <s v="TI150"/>
    <x v="48"/>
    <s v="North"/>
    <s v="Sakshi Sawant"/>
    <s v="Soap"/>
    <x v="5"/>
    <x v="9"/>
    <n v="1500"/>
    <x v="4"/>
    <n v="12000"/>
    <n v="24000"/>
    <x v="6"/>
    <x v="21"/>
    <n v="6"/>
    <x v="4"/>
    <s v="Q2"/>
    <x v="0"/>
    <s v="Top Seller"/>
    <x v="0"/>
  </r>
  <r>
    <s v="TI151"/>
    <x v="49"/>
    <s v="South"/>
    <s v="Asha Tayde"/>
    <s v="Salt"/>
    <x v="10"/>
    <x v="1"/>
    <n v="20000"/>
    <x v="2"/>
    <n v="80000"/>
    <n v="120000"/>
    <x v="3"/>
    <x v="5"/>
    <n v="10"/>
    <x v="4"/>
    <s v="Q4"/>
    <x v="0"/>
    <s v="Top Seller"/>
    <x v="0"/>
  </r>
  <r>
    <s v="TI152"/>
    <x v="50"/>
    <s v="South"/>
    <s v="Amruta Dhokar"/>
    <s v="Wheat"/>
    <x v="7"/>
    <x v="5"/>
    <n v="20000"/>
    <x v="2"/>
    <n v="100000"/>
    <n v="150000"/>
    <x v="9"/>
    <x v="15"/>
    <n v="7"/>
    <x v="1"/>
    <s v="Q3"/>
    <x v="0"/>
    <s v="Normal"/>
    <x v="0"/>
  </r>
  <r>
    <s v="TI153"/>
    <x v="51"/>
    <s v="West"/>
    <s v="Karan Ingole"/>
    <s v="Shampoo"/>
    <x v="2"/>
    <x v="7"/>
    <n v="6000"/>
    <x v="1"/>
    <n v="18000"/>
    <n v="30000"/>
    <x v="2"/>
    <x v="21"/>
    <n v="5"/>
    <x v="1"/>
    <s v="Q2"/>
    <x v="0"/>
    <s v="Top Seller"/>
    <x v="0"/>
  </r>
  <r>
    <s v="TI154"/>
    <x v="52"/>
    <s v="South"/>
    <s v="Pradip Pawar"/>
    <s v="Fruits"/>
    <x v="8"/>
    <x v="9"/>
    <n v="35000"/>
    <x v="3"/>
    <n v="280000"/>
    <n v="416000"/>
    <x v="5"/>
    <x v="28"/>
    <n v="3"/>
    <x v="3"/>
    <s v="Q1"/>
    <x v="0"/>
    <s v="Top Seller"/>
    <x v="0"/>
  </r>
  <r>
    <s v="TI155"/>
    <x v="53"/>
    <s v="South"/>
    <s v="Dinesh Dhokar"/>
    <s v="Cooking"/>
    <x v="4"/>
    <x v="3"/>
    <n v="35000"/>
    <x v="3"/>
    <n v="210000"/>
    <n v="312000"/>
    <x v="0"/>
    <x v="6"/>
    <n v="8"/>
    <x v="2"/>
    <s v="Q3"/>
    <x v="0"/>
    <s v="Top Seller"/>
    <x v="0"/>
  </r>
  <r>
    <s v="TI156"/>
    <x v="54"/>
    <s v="East"/>
    <s v="Kondiba Kinkar"/>
    <s v="Biscuits"/>
    <x v="1"/>
    <x v="1"/>
    <n v="20000"/>
    <x v="2"/>
    <n v="80000"/>
    <n v="120000"/>
    <x v="3"/>
    <x v="5"/>
    <n v="10"/>
    <x v="1"/>
    <s v="Q4"/>
    <x v="0"/>
    <s v="Top Seller"/>
    <x v="0"/>
  </r>
  <r>
    <s v="TI157"/>
    <x v="55"/>
    <s v="South"/>
    <s v="Sachin Yede"/>
    <s v="Tea"/>
    <x v="7"/>
    <x v="2"/>
    <n v="35000"/>
    <x v="3"/>
    <n v="70000"/>
    <n v="104000"/>
    <x v="3"/>
    <x v="30"/>
    <n v="10"/>
    <x v="3"/>
    <s v="Q4"/>
    <x v="0"/>
    <s v="Top Seller"/>
    <x v="1"/>
  </r>
  <r>
    <s v="TI158"/>
    <x v="56"/>
    <s v="North"/>
    <s v="Ruchita Fartade"/>
    <s v="Toothpaste"/>
    <x v="1"/>
    <x v="4"/>
    <n v="12000"/>
    <x v="0"/>
    <n v="120000"/>
    <n v="180000"/>
    <x v="10"/>
    <x v="31"/>
    <n v="12"/>
    <x v="5"/>
    <s v="Q4"/>
    <x v="0"/>
    <s v="Normal"/>
    <x v="2"/>
  </r>
  <r>
    <s v="TI159"/>
    <x v="57"/>
    <s v="East"/>
    <s v="Shivanad Jagtap"/>
    <s v="Tea"/>
    <x v="0"/>
    <x v="3"/>
    <n v="1500"/>
    <x v="4"/>
    <n v="9000"/>
    <n v="18000"/>
    <x v="6"/>
    <x v="32"/>
    <n v="6"/>
    <x v="2"/>
    <s v="Q2"/>
    <x v="0"/>
    <s v="Top Seller"/>
    <x v="0"/>
  </r>
  <r>
    <s v="TI160"/>
    <x v="58"/>
    <s v="North"/>
    <s v="Sneha Jagtap"/>
    <s v="Butter"/>
    <x v="5"/>
    <x v="1"/>
    <n v="35000"/>
    <x v="3"/>
    <n v="140000"/>
    <n v="208000"/>
    <x v="9"/>
    <x v="22"/>
    <n v="7"/>
    <x v="5"/>
    <s v="Q3"/>
    <x v="0"/>
    <s v="Top Seller"/>
    <x v="0"/>
  </r>
  <r>
    <s v="TI161"/>
    <x v="59"/>
    <s v="North"/>
    <s v="Sneha Yede"/>
    <s v="Sugar"/>
    <x v="5"/>
    <x v="4"/>
    <n v="20000"/>
    <x v="2"/>
    <n v="200000"/>
    <n v="300000"/>
    <x v="5"/>
    <x v="19"/>
    <n v="3"/>
    <x v="2"/>
    <s v="Q1"/>
    <x v="0"/>
    <s v="Top Seller"/>
    <x v="2"/>
  </r>
  <r>
    <s v="TI162"/>
    <x v="60"/>
    <s v="South"/>
    <s v="Satyam Nirfhal"/>
    <s v="Salt"/>
    <x v="7"/>
    <x v="4"/>
    <n v="35000"/>
    <x v="3"/>
    <n v="350000"/>
    <n v="520000"/>
    <x v="7"/>
    <x v="33"/>
    <n v="1"/>
    <x v="5"/>
    <s v="Q1"/>
    <x v="0"/>
    <s v="Normal"/>
    <x v="2"/>
  </r>
  <r>
    <s v="TI163"/>
    <x v="61"/>
    <s v="East"/>
    <s v="Sneha Sawant"/>
    <s v="Soap"/>
    <x v="0"/>
    <x v="8"/>
    <n v="12000"/>
    <x v="0"/>
    <n v="12000"/>
    <n v="18000"/>
    <x v="10"/>
    <x v="16"/>
    <n v="12"/>
    <x v="0"/>
    <s v="Q4"/>
    <x v="0"/>
    <s v="Normal"/>
    <x v="1"/>
  </r>
  <r>
    <s v="TI164"/>
    <x v="62"/>
    <s v="South"/>
    <s v="Pradip Pawar"/>
    <s v="Cheese"/>
    <x v="7"/>
    <x v="5"/>
    <n v="6000"/>
    <x v="1"/>
    <n v="30000"/>
    <n v="50000"/>
    <x v="4"/>
    <x v="4"/>
    <n v="4"/>
    <x v="2"/>
    <s v="Q2"/>
    <x v="0"/>
    <s v="Top Seller"/>
    <x v="0"/>
  </r>
  <r>
    <s v="TI165"/>
    <x v="63"/>
    <s v="North"/>
    <s v="Kartik Jagtap"/>
    <s v="Soap"/>
    <x v="0"/>
    <x v="7"/>
    <n v="12000"/>
    <x v="0"/>
    <n v="36000"/>
    <n v="54000"/>
    <x v="10"/>
    <x v="29"/>
    <n v="12"/>
    <x v="3"/>
    <s v="Q4"/>
    <x v="0"/>
    <s v="Normal"/>
    <x v="0"/>
  </r>
  <r>
    <s v="TI166"/>
    <x v="64"/>
    <s v="North"/>
    <s v="Shivanad Mane"/>
    <s v="Butter"/>
    <x v="2"/>
    <x v="8"/>
    <n v="1500"/>
    <x v="4"/>
    <n v="1500"/>
    <n v="3000"/>
    <x v="8"/>
    <x v="17"/>
    <n v="9"/>
    <x v="0"/>
    <s v="Q3"/>
    <x v="0"/>
    <s v="Top Seller"/>
    <x v="1"/>
  </r>
  <r>
    <s v="TI167"/>
    <x v="65"/>
    <s v="North"/>
    <s v="Sundar Mulgir"/>
    <s v="Eggs"/>
    <x v="4"/>
    <x v="8"/>
    <n v="35000"/>
    <x v="3"/>
    <n v="35000"/>
    <n v="52000"/>
    <x v="7"/>
    <x v="34"/>
    <n v="1"/>
    <x v="3"/>
    <s v="Q1"/>
    <x v="0"/>
    <s v="Top Seller"/>
    <x v="1"/>
  </r>
  <r>
    <s v="TI168"/>
    <x v="66"/>
    <s v="North"/>
    <s v="Amruta Butte"/>
    <s v="Biscuits"/>
    <x v="1"/>
    <x v="9"/>
    <n v="35000"/>
    <x v="3"/>
    <n v="280000"/>
    <n v="416000"/>
    <x v="3"/>
    <x v="28"/>
    <n v="10"/>
    <x v="5"/>
    <s v="Q4"/>
    <x v="0"/>
    <s v="Top Seller"/>
    <x v="0"/>
  </r>
  <r>
    <s v="TI169"/>
    <x v="67"/>
    <s v="North"/>
    <s v="Karan Bhise"/>
    <s v="Tea"/>
    <x v="9"/>
    <x v="6"/>
    <n v="35000"/>
    <x v="3"/>
    <n v="315000"/>
    <n v="468000"/>
    <x v="6"/>
    <x v="35"/>
    <n v="6"/>
    <x v="0"/>
    <s v="Q2"/>
    <x v="0"/>
    <s v="Top Seller"/>
    <x v="0"/>
  </r>
  <r>
    <s v="TI170"/>
    <x v="68"/>
    <s v="North"/>
    <s v="Sachin Tayde"/>
    <s v="Rice"/>
    <x v="10"/>
    <x v="1"/>
    <n v="35000"/>
    <x v="3"/>
    <n v="140000"/>
    <n v="208000"/>
    <x v="6"/>
    <x v="22"/>
    <n v="6"/>
    <x v="5"/>
    <s v="Q2"/>
    <x v="0"/>
    <s v="Top Seller"/>
    <x v="0"/>
  </r>
  <r>
    <s v="TI171"/>
    <x v="69"/>
    <s v="North"/>
    <s v="Vaibhav Ingole"/>
    <s v="Wheat"/>
    <x v="4"/>
    <x v="6"/>
    <n v="35000"/>
    <x v="3"/>
    <n v="315000"/>
    <n v="468000"/>
    <x v="6"/>
    <x v="35"/>
    <n v="6"/>
    <x v="2"/>
    <s v="Q2"/>
    <x v="0"/>
    <s v="Normal"/>
    <x v="0"/>
  </r>
  <r>
    <s v="TI172"/>
    <x v="70"/>
    <s v="South"/>
    <s v="Priynka Ingole"/>
    <s v="Biscuits"/>
    <x v="0"/>
    <x v="8"/>
    <n v="1500"/>
    <x v="4"/>
    <n v="1500"/>
    <n v="3000"/>
    <x v="11"/>
    <x v="17"/>
    <n v="2"/>
    <x v="0"/>
    <s v="Q1"/>
    <x v="0"/>
    <s v="Top Seller"/>
    <x v="1"/>
  </r>
  <r>
    <s v="TI173"/>
    <x v="71"/>
    <s v="East"/>
    <s v="Sneha Butte"/>
    <s v="Milk"/>
    <x v="9"/>
    <x v="7"/>
    <n v="20000"/>
    <x v="2"/>
    <n v="60000"/>
    <n v="90000"/>
    <x v="4"/>
    <x v="23"/>
    <n v="4"/>
    <x v="5"/>
    <s v="Q2"/>
    <x v="0"/>
    <s v="Top Seller"/>
    <x v="0"/>
  </r>
  <r>
    <s v="TI174"/>
    <x v="72"/>
    <s v="East"/>
    <s v="Asha Dange"/>
    <s v="Rice"/>
    <x v="2"/>
    <x v="2"/>
    <n v="35000"/>
    <x v="3"/>
    <n v="70000"/>
    <n v="104000"/>
    <x v="4"/>
    <x v="30"/>
    <n v="4"/>
    <x v="2"/>
    <s v="Q2"/>
    <x v="0"/>
    <s v="Top Seller"/>
    <x v="1"/>
  </r>
  <r>
    <s v="TI175"/>
    <x v="73"/>
    <s v="North"/>
    <s v="Mona Dange"/>
    <s v="Vegetables"/>
    <x v="7"/>
    <x v="1"/>
    <n v="20000"/>
    <x v="2"/>
    <n v="80000"/>
    <n v="120000"/>
    <x v="5"/>
    <x v="5"/>
    <n v="3"/>
    <x v="1"/>
    <s v="Q1"/>
    <x v="0"/>
    <s v="Top Seller"/>
    <x v="0"/>
  </r>
  <r>
    <s v="TI176"/>
    <x v="1"/>
    <s v="East"/>
    <s v="Shivanad Fartade"/>
    <s v="Shampoo"/>
    <x v="2"/>
    <x v="8"/>
    <n v="35000"/>
    <x v="3"/>
    <n v="35000"/>
    <n v="52000"/>
    <x v="1"/>
    <x v="34"/>
    <n v="11"/>
    <x v="1"/>
    <s v="Q4"/>
    <x v="0"/>
    <s v="Top Seller"/>
    <x v="1"/>
  </r>
  <r>
    <s v="TI177"/>
    <x v="3"/>
    <s v="North"/>
    <s v="Kondiba Fartade"/>
    <s v="Vegetables"/>
    <x v="0"/>
    <x v="5"/>
    <n v="12000"/>
    <x v="0"/>
    <n v="60000"/>
    <n v="90000"/>
    <x v="3"/>
    <x v="23"/>
    <n v="10"/>
    <x v="0"/>
    <s v="Q4"/>
    <x v="0"/>
    <s v="Top Seller"/>
    <x v="0"/>
  </r>
  <r>
    <s v="TI178"/>
    <x v="74"/>
    <s v="North"/>
    <s v="Satyam Dhokar"/>
    <s v="Milk"/>
    <x v="1"/>
    <x v="6"/>
    <n v="20000"/>
    <x v="2"/>
    <n v="180000"/>
    <n v="270000"/>
    <x v="1"/>
    <x v="12"/>
    <n v="11"/>
    <x v="0"/>
    <s v="Q4"/>
    <x v="0"/>
    <s v="Normal"/>
    <x v="0"/>
  </r>
  <r>
    <s v="TI179"/>
    <x v="75"/>
    <s v="North"/>
    <s v="Mona Rahikar"/>
    <s v="Tea"/>
    <x v="3"/>
    <x v="0"/>
    <n v="1500"/>
    <x v="4"/>
    <n v="10500"/>
    <n v="21000"/>
    <x v="7"/>
    <x v="14"/>
    <n v="1"/>
    <x v="1"/>
    <s v="Q1"/>
    <x v="0"/>
    <s v="Top Seller"/>
    <x v="0"/>
  </r>
  <r>
    <s v="TI180"/>
    <x v="76"/>
    <s v="West"/>
    <s v="Mona Kale"/>
    <s v="Lentils"/>
    <x v="8"/>
    <x v="9"/>
    <n v="6000"/>
    <x v="1"/>
    <n v="48000"/>
    <n v="80000"/>
    <x v="2"/>
    <x v="36"/>
    <n v="5"/>
    <x v="1"/>
    <s v="Q2"/>
    <x v="0"/>
    <s v="Normal"/>
    <x v="0"/>
  </r>
  <r>
    <s v="TI181"/>
    <x v="77"/>
    <s v="South"/>
    <s v="Sahil Mali"/>
    <s v="Cooking"/>
    <x v="2"/>
    <x v="5"/>
    <n v="1500"/>
    <x v="4"/>
    <n v="7500"/>
    <n v="15000"/>
    <x v="7"/>
    <x v="26"/>
    <n v="1"/>
    <x v="2"/>
    <s v="Q1"/>
    <x v="0"/>
    <s v="Top Seller"/>
    <x v="0"/>
  </r>
  <r>
    <s v="TI182"/>
    <x v="78"/>
    <s v="East"/>
    <s v="Saloni Thorat"/>
    <s v="Eggs"/>
    <x v="4"/>
    <x v="0"/>
    <n v="35000"/>
    <x v="3"/>
    <n v="245000"/>
    <n v="364000"/>
    <x v="7"/>
    <x v="9"/>
    <n v="1"/>
    <x v="0"/>
    <s v="Q1"/>
    <x v="0"/>
    <s v="Top Seller"/>
    <x v="0"/>
  </r>
  <r>
    <s v="TI183"/>
    <x v="79"/>
    <s v="East"/>
    <s v="Kondiba Rahikar"/>
    <s v="Biscuits"/>
    <x v="3"/>
    <x v="3"/>
    <n v="12000"/>
    <x v="0"/>
    <n v="72000"/>
    <n v="108000"/>
    <x v="3"/>
    <x v="3"/>
    <n v="10"/>
    <x v="3"/>
    <s v="Q4"/>
    <x v="0"/>
    <s v="Top Seller"/>
    <x v="0"/>
  </r>
  <r>
    <s v="TI184"/>
    <x v="80"/>
    <s v="North"/>
    <s v="Ganesh Fartade"/>
    <s v="Lentils"/>
    <x v="5"/>
    <x v="3"/>
    <n v="6000"/>
    <x v="1"/>
    <n v="36000"/>
    <n v="60000"/>
    <x v="9"/>
    <x v="1"/>
    <n v="7"/>
    <x v="1"/>
    <s v="Q3"/>
    <x v="0"/>
    <s v="Normal"/>
    <x v="0"/>
  </r>
  <r>
    <s v="TI185"/>
    <x v="81"/>
    <s v="West"/>
    <s v="Kondiba Pawar"/>
    <s v="Sugar"/>
    <x v="11"/>
    <x v="8"/>
    <n v="1500"/>
    <x v="4"/>
    <n v="1500"/>
    <n v="3000"/>
    <x v="1"/>
    <x v="17"/>
    <n v="11"/>
    <x v="1"/>
    <s v="Q4"/>
    <x v="0"/>
    <s v="Top Seller"/>
    <x v="1"/>
  </r>
  <r>
    <s v="TI186"/>
    <x v="82"/>
    <s v="West"/>
    <s v="Mona Dhokar"/>
    <s v="Bread"/>
    <x v="7"/>
    <x v="7"/>
    <n v="35000"/>
    <x v="3"/>
    <n v="105000"/>
    <n v="156000"/>
    <x v="6"/>
    <x v="10"/>
    <n v="6"/>
    <x v="5"/>
    <s v="Q2"/>
    <x v="0"/>
    <s v="Top Seller"/>
    <x v="0"/>
  </r>
  <r>
    <s v="TI187"/>
    <x v="83"/>
    <s v="West"/>
    <s v="Rutuja Mane"/>
    <s v="Soap"/>
    <x v="3"/>
    <x v="0"/>
    <n v="20000"/>
    <x v="2"/>
    <n v="140000"/>
    <n v="210000"/>
    <x v="10"/>
    <x v="13"/>
    <n v="12"/>
    <x v="2"/>
    <s v="Q4"/>
    <x v="0"/>
    <s v="Normal"/>
    <x v="0"/>
  </r>
  <r>
    <s v="TI188"/>
    <x v="84"/>
    <s v="East"/>
    <s v="Dinesh Dhokar"/>
    <s v="Lentils"/>
    <x v="0"/>
    <x v="5"/>
    <n v="1500"/>
    <x v="4"/>
    <n v="7500"/>
    <n v="15000"/>
    <x v="10"/>
    <x v="26"/>
    <n v="12"/>
    <x v="4"/>
    <s v="Q4"/>
    <x v="0"/>
    <s v="Top Seller"/>
    <x v="0"/>
  </r>
  <r>
    <s v="TI189"/>
    <x v="85"/>
    <s v="East"/>
    <s v="Ganesh Gaikwad"/>
    <s v="Butter"/>
    <x v="3"/>
    <x v="9"/>
    <n v="6000"/>
    <x v="1"/>
    <n v="48000"/>
    <n v="80000"/>
    <x v="6"/>
    <x v="36"/>
    <n v="6"/>
    <x v="3"/>
    <s v="Q2"/>
    <x v="0"/>
    <s v="Normal"/>
    <x v="0"/>
  </r>
  <r>
    <s v="TI190"/>
    <x v="86"/>
    <s v="West"/>
    <s v="Vaibhav Fartade"/>
    <s v="Lentils"/>
    <x v="0"/>
    <x v="1"/>
    <n v="6000"/>
    <x v="1"/>
    <n v="24000"/>
    <n v="40000"/>
    <x v="5"/>
    <x v="24"/>
    <n v="3"/>
    <x v="5"/>
    <s v="Q1"/>
    <x v="0"/>
    <s v="Normal"/>
    <x v="0"/>
  </r>
  <r>
    <s v="TI191"/>
    <x v="87"/>
    <s v="East"/>
    <s v="Sakshi Butte"/>
    <s v="Milk"/>
    <x v="11"/>
    <x v="9"/>
    <n v="1500"/>
    <x v="4"/>
    <n v="12000"/>
    <n v="24000"/>
    <x v="4"/>
    <x v="21"/>
    <n v="4"/>
    <x v="3"/>
    <s v="Q2"/>
    <x v="0"/>
    <s v="Top Seller"/>
    <x v="0"/>
  </r>
  <r>
    <s v="TI192"/>
    <x v="88"/>
    <s v="East"/>
    <s v="Shivanad Ghule"/>
    <s v="Bread"/>
    <x v="9"/>
    <x v="9"/>
    <n v="20000"/>
    <x v="2"/>
    <n v="160000"/>
    <n v="240000"/>
    <x v="8"/>
    <x v="37"/>
    <n v="9"/>
    <x v="3"/>
    <s v="Q3"/>
    <x v="0"/>
    <s v="Top Seller"/>
    <x v="0"/>
  </r>
  <r>
    <s v="TI193"/>
    <x v="58"/>
    <s v="East"/>
    <s v="Sahil Rahikar"/>
    <s v="Rice"/>
    <x v="5"/>
    <x v="1"/>
    <n v="35000"/>
    <x v="3"/>
    <n v="140000"/>
    <n v="208000"/>
    <x v="9"/>
    <x v="22"/>
    <n v="7"/>
    <x v="5"/>
    <s v="Q3"/>
    <x v="0"/>
    <s v="Top Seller"/>
    <x v="0"/>
  </r>
  <r>
    <s v="TI194"/>
    <x v="89"/>
    <s v="North"/>
    <s v="Raj Ingole"/>
    <s v="Salt"/>
    <x v="7"/>
    <x v="1"/>
    <n v="20000"/>
    <x v="2"/>
    <n v="80000"/>
    <n v="120000"/>
    <x v="6"/>
    <x v="5"/>
    <n v="6"/>
    <x v="1"/>
    <s v="Q2"/>
    <x v="0"/>
    <s v="Top Seller"/>
    <x v="0"/>
  </r>
  <r>
    <s v="TI195"/>
    <x v="90"/>
    <s v="East"/>
    <s v="Sneha Mane"/>
    <s v="Soap"/>
    <x v="4"/>
    <x v="5"/>
    <n v="12000"/>
    <x v="0"/>
    <n v="60000"/>
    <n v="90000"/>
    <x v="5"/>
    <x v="23"/>
    <n v="3"/>
    <x v="1"/>
    <s v="Q1"/>
    <x v="0"/>
    <s v="Top Seller"/>
    <x v="0"/>
  </r>
  <r>
    <s v="TI196"/>
    <x v="91"/>
    <s v="North"/>
    <s v="Sakshi Rahikar"/>
    <s v="Biscuits"/>
    <x v="0"/>
    <x v="6"/>
    <n v="20000"/>
    <x v="2"/>
    <n v="180000"/>
    <n v="270000"/>
    <x v="7"/>
    <x v="12"/>
    <n v="1"/>
    <x v="4"/>
    <s v="Q1"/>
    <x v="0"/>
    <s v="Top Seller"/>
    <x v="0"/>
  </r>
  <r>
    <s v="TI197"/>
    <x v="92"/>
    <s v="North"/>
    <s v="Ganesh Ghule"/>
    <s v="Cheese"/>
    <x v="11"/>
    <x v="2"/>
    <n v="20000"/>
    <x v="2"/>
    <n v="40000"/>
    <n v="60000"/>
    <x v="0"/>
    <x v="4"/>
    <n v="8"/>
    <x v="2"/>
    <s v="Q3"/>
    <x v="0"/>
    <s v="Normal"/>
    <x v="1"/>
  </r>
  <r>
    <s v="TI198"/>
    <x v="93"/>
    <s v="South"/>
    <s v="Sachin Tandle"/>
    <s v="Bread"/>
    <x v="10"/>
    <x v="1"/>
    <n v="6000"/>
    <x v="1"/>
    <n v="24000"/>
    <n v="40000"/>
    <x v="2"/>
    <x v="24"/>
    <n v="5"/>
    <x v="5"/>
    <s v="Q2"/>
    <x v="0"/>
    <s v="Normal"/>
    <x v="0"/>
  </r>
  <r>
    <s v="TI199"/>
    <x v="94"/>
    <s v="South"/>
    <s v="Dinesh Kinkar"/>
    <s v="Wheat"/>
    <x v="3"/>
    <x v="1"/>
    <n v="6000"/>
    <x v="1"/>
    <n v="24000"/>
    <n v="40000"/>
    <x v="1"/>
    <x v="24"/>
    <n v="11"/>
    <x v="1"/>
    <s v="Q4"/>
    <x v="0"/>
    <s v="Top Seller"/>
    <x v="0"/>
  </r>
  <r>
    <s v="TI200"/>
    <x v="95"/>
    <s v="East"/>
    <s v="Pradip Ingle"/>
    <s v="Lentils"/>
    <x v="7"/>
    <x v="9"/>
    <n v="35000"/>
    <x v="3"/>
    <n v="280000"/>
    <n v="416000"/>
    <x v="4"/>
    <x v="28"/>
    <n v="4"/>
    <x v="0"/>
    <s v="Q2"/>
    <x v="0"/>
    <s v="Normal"/>
    <x v="0"/>
  </r>
  <r>
    <s v="TI201"/>
    <x v="96"/>
    <s v="South"/>
    <s v="Amruta Kale"/>
    <s v="Toothpaste"/>
    <x v="1"/>
    <x v="2"/>
    <n v="1500"/>
    <x v="4"/>
    <n v="3000"/>
    <n v="6000"/>
    <x v="8"/>
    <x v="8"/>
    <n v="9"/>
    <x v="1"/>
    <s v="Q3"/>
    <x v="0"/>
    <s v="Normal"/>
    <x v="1"/>
  </r>
  <r>
    <s v="TI202"/>
    <x v="97"/>
    <s v="East"/>
    <s v="Sundar Bhise"/>
    <s v="Tea"/>
    <x v="9"/>
    <x v="3"/>
    <n v="1500"/>
    <x v="4"/>
    <n v="9000"/>
    <n v="18000"/>
    <x v="11"/>
    <x v="32"/>
    <n v="2"/>
    <x v="4"/>
    <s v="Q1"/>
    <x v="0"/>
    <s v="Normal"/>
    <x v="0"/>
  </r>
  <r>
    <s v="TI203"/>
    <x v="40"/>
    <s v="West"/>
    <s v="Ganesh Butte"/>
    <s v="Rice"/>
    <x v="5"/>
    <x v="7"/>
    <n v="6000"/>
    <x v="1"/>
    <n v="18000"/>
    <n v="30000"/>
    <x v="11"/>
    <x v="21"/>
    <n v="2"/>
    <x v="3"/>
    <s v="Q1"/>
    <x v="0"/>
    <s v="Normal"/>
    <x v="0"/>
  </r>
  <r>
    <s v="TI204"/>
    <x v="98"/>
    <s v="East"/>
    <s v="Priynka Sawant"/>
    <s v="Salt"/>
    <x v="7"/>
    <x v="2"/>
    <n v="12000"/>
    <x v="0"/>
    <n v="24000"/>
    <n v="36000"/>
    <x v="1"/>
    <x v="21"/>
    <n v="11"/>
    <x v="0"/>
    <s v="Q4"/>
    <x v="0"/>
    <s v="Normal"/>
    <x v="1"/>
  </r>
  <r>
    <s v="TI205"/>
    <x v="78"/>
    <s v="West"/>
    <s v="Maroti Bhise"/>
    <s v="Soap"/>
    <x v="7"/>
    <x v="6"/>
    <n v="1500"/>
    <x v="4"/>
    <n v="13500"/>
    <n v="27000"/>
    <x v="7"/>
    <x v="18"/>
    <n v="1"/>
    <x v="0"/>
    <s v="Q1"/>
    <x v="0"/>
    <s v="Top Seller"/>
    <x v="0"/>
  </r>
  <r>
    <s v="TI206"/>
    <x v="99"/>
    <s v="South"/>
    <s v="Rutuja Yede"/>
    <s v="Shampoo"/>
    <x v="7"/>
    <x v="3"/>
    <n v="6000"/>
    <x v="1"/>
    <n v="36000"/>
    <n v="60000"/>
    <x v="1"/>
    <x v="1"/>
    <n v="11"/>
    <x v="2"/>
    <s v="Q4"/>
    <x v="0"/>
    <s v="Normal"/>
    <x v="0"/>
  </r>
  <r>
    <s v="TI207"/>
    <x v="100"/>
    <s v="West"/>
    <s v="Mona Puri"/>
    <s v="Toothpaste"/>
    <x v="0"/>
    <x v="9"/>
    <n v="1500"/>
    <x v="4"/>
    <n v="12000"/>
    <n v="24000"/>
    <x v="0"/>
    <x v="21"/>
    <n v="8"/>
    <x v="4"/>
    <s v="Q3"/>
    <x v="0"/>
    <s v="Normal"/>
    <x v="0"/>
  </r>
  <r>
    <s v="TI208"/>
    <x v="101"/>
    <s v="South"/>
    <s v="Shivanad Gaikwad"/>
    <s v="Cheese"/>
    <x v="10"/>
    <x v="7"/>
    <n v="1500"/>
    <x v="4"/>
    <n v="4500"/>
    <n v="9000"/>
    <x v="8"/>
    <x v="11"/>
    <n v="9"/>
    <x v="4"/>
    <s v="Q3"/>
    <x v="0"/>
    <s v="Top Seller"/>
    <x v="0"/>
  </r>
  <r>
    <s v="TI209"/>
    <x v="6"/>
    <s v="South"/>
    <s v="Kondiba Fartade"/>
    <s v="Wheat"/>
    <x v="5"/>
    <x v="6"/>
    <n v="6000"/>
    <x v="1"/>
    <n v="54000"/>
    <n v="90000"/>
    <x v="4"/>
    <x v="3"/>
    <n v="4"/>
    <x v="1"/>
    <s v="Q2"/>
    <x v="0"/>
    <s v="Top Seller"/>
    <x v="0"/>
  </r>
  <r>
    <s v="TI210"/>
    <x v="102"/>
    <s v="West"/>
    <s v="Sahil Sawant"/>
    <s v="Sugar"/>
    <x v="2"/>
    <x v="0"/>
    <n v="35000"/>
    <x v="3"/>
    <n v="245000"/>
    <n v="364000"/>
    <x v="3"/>
    <x v="9"/>
    <n v="10"/>
    <x v="1"/>
    <s v="Q4"/>
    <x v="0"/>
    <s v="Top Seller"/>
    <x v="0"/>
  </r>
  <r>
    <s v="TI211"/>
    <x v="103"/>
    <s v="North"/>
    <s v="Sneha Dhokar"/>
    <s v="Vegetables"/>
    <x v="7"/>
    <x v="1"/>
    <n v="35000"/>
    <x v="3"/>
    <n v="140000"/>
    <n v="208000"/>
    <x v="4"/>
    <x v="22"/>
    <n v="4"/>
    <x v="3"/>
    <s v="Q2"/>
    <x v="0"/>
    <s v="Top Seller"/>
    <x v="0"/>
  </r>
  <r>
    <s v="TI212"/>
    <x v="104"/>
    <s v="East"/>
    <s v="Sakshi Fartade"/>
    <s v="Soap"/>
    <x v="0"/>
    <x v="7"/>
    <n v="35000"/>
    <x v="3"/>
    <n v="105000"/>
    <n v="156000"/>
    <x v="0"/>
    <x v="10"/>
    <n v="8"/>
    <x v="2"/>
    <s v="Q3"/>
    <x v="0"/>
    <s v="Top Seller"/>
    <x v="0"/>
  </r>
  <r>
    <s v="TI213"/>
    <x v="105"/>
    <s v="North"/>
    <s v="Sundar Tandle"/>
    <s v="Milk"/>
    <x v="5"/>
    <x v="2"/>
    <n v="20000"/>
    <x v="2"/>
    <n v="40000"/>
    <n v="60000"/>
    <x v="0"/>
    <x v="4"/>
    <n v="8"/>
    <x v="4"/>
    <s v="Q3"/>
    <x v="0"/>
    <s v="Top Seller"/>
    <x v="1"/>
  </r>
  <r>
    <s v="TI214"/>
    <x v="106"/>
    <s v="South"/>
    <s v="Priynka Ingole"/>
    <s v="Salt"/>
    <x v="2"/>
    <x v="6"/>
    <n v="35000"/>
    <x v="3"/>
    <n v="315000"/>
    <n v="468000"/>
    <x v="0"/>
    <x v="35"/>
    <n v="8"/>
    <x v="3"/>
    <s v="Q3"/>
    <x v="0"/>
    <s v="Top Seller"/>
    <x v="0"/>
  </r>
  <r>
    <s v="TI215"/>
    <x v="107"/>
    <s v="West"/>
    <s v="Saloni Bhise"/>
    <s v="Eggs"/>
    <x v="5"/>
    <x v="9"/>
    <n v="35000"/>
    <x v="3"/>
    <n v="280000"/>
    <n v="416000"/>
    <x v="5"/>
    <x v="28"/>
    <n v="3"/>
    <x v="0"/>
    <s v="Q1"/>
    <x v="0"/>
    <s v="Top Seller"/>
    <x v="0"/>
  </r>
  <r>
    <s v="TI216"/>
    <x v="108"/>
    <s v="East"/>
    <s v="Ruchita Kale"/>
    <s v="Salt"/>
    <x v="7"/>
    <x v="2"/>
    <n v="20000"/>
    <x v="2"/>
    <n v="40000"/>
    <n v="60000"/>
    <x v="10"/>
    <x v="4"/>
    <n v="12"/>
    <x v="0"/>
    <s v="Q4"/>
    <x v="0"/>
    <s v="Top Seller"/>
    <x v="1"/>
  </r>
  <r>
    <s v="TI217"/>
    <x v="109"/>
    <s v="North"/>
    <s v="Pradip Pawar"/>
    <s v="Shampoo"/>
    <x v="2"/>
    <x v="2"/>
    <n v="35000"/>
    <x v="3"/>
    <n v="70000"/>
    <n v="104000"/>
    <x v="7"/>
    <x v="30"/>
    <n v="1"/>
    <x v="3"/>
    <s v="Q1"/>
    <x v="0"/>
    <s v="Top Seller"/>
    <x v="1"/>
  </r>
  <r>
    <s v="TI218"/>
    <x v="110"/>
    <s v="South"/>
    <s v="Sakshi Kale"/>
    <s v="Vegetables"/>
    <x v="2"/>
    <x v="3"/>
    <n v="6000"/>
    <x v="1"/>
    <n v="36000"/>
    <n v="60000"/>
    <x v="4"/>
    <x v="1"/>
    <n v="4"/>
    <x v="5"/>
    <s v="Q2"/>
    <x v="0"/>
    <s v="Normal"/>
    <x v="0"/>
  </r>
  <r>
    <s v="TI219"/>
    <x v="111"/>
    <s v="North"/>
    <s v="Shivanad Ingle"/>
    <s v="Eggs"/>
    <x v="4"/>
    <x v="8"/>
    <n v="12000"/>
    <x v="0"/>
    <n v="12000"/>
    <n v="18000"/>
    <x v="0"/>
    <x v="16"/>
    <n v="8"/>
    <x v="1"/>
    <s v="Q3"/>
    <x v="0"/>
    <s v="Top Seller"/>
    <x v="1"/>
  </r>
  <r>
    <s v="TI220"/>
    <x v="112"/>
    <s v="South"/>
    <s v="Asha Puri"/>
    <s v="Biscuits"/>
    <x v="2"/>
    <x v="8"/>
    <n v="35000"/>
    <x v="3"/>
    <n v="35000"/>
    <n v="52000"/>
    <x v="4"/>
    <x v="34"/>
    <n v="4"/>
    <x v="4"/>
    <s v="Q2"/>
    <x v="0"/>
    <s v="Top Seller"/>
    <x v="1"/>
  </r>
  <r>
    <s v="TI221"/>
    <x v="113"/>
    <s v="South"/>
    <s v="Priynka Dange"/>
    <s v="Fruits"/>
    <x v="4"/>
    <x v="4"/>
    <n v="20000"/>
    <x v="2"/>
    <n v="200000"/>
    <n v="300000"/>
    <x v="6"/>
    <x v="19"/>
    <n v="6"/>
    <x v="1"/>
    <s v="Q2"/>
    <x v="0"/>
    <s v="Top Seller"/>
    <x v="2"/>
  </r>
  <r>
    <s v="TI222"/>
    <x v="114"/>
    <s v="West"/>
    <s v="Raj Kinkar"/>
    <s v="Biscuits"/>
    <x v="7"/>
    <x v="1"/>
    <n v="35000"/>
    <x v="3"/>
    <n v="140000"/>
    <n v="208000"/>
    <x v="4"/>
    <x v="22"/>
    <n v="4"/>
    <x v="3"/>
    <s v="Q2"/>
    <x v="0"/>
    <s v="Normal"/>
    <x v="0"/>
  </r>
  <r>
    <s v="TI223"/>
    <x v="115"/>
    <s v="East"/>
    <s v="Kartik Thorat"/>
    <s v="Shampoo"/>
    <x v="2"/>
    <x v="8"/>
    <n v="12000"/>
    <x v="0"/>
    <n v="12000"/>
    <n v="18000"/>
    <x v="0"/>
    <x v="16"/>
    <n v="8"/>
    <x v="1"/>
    <s v="Q3"/>
    <x v="0"/>
    <s v="Normal"/>
    <x v="1"/>
  </r>
  <r>
    <s v="TI224"/>
    <x v="116"/>
    <s v="East"/>
    <s v="Pradip Tandle"/>
    <s v="Eggs"/>
    <x v="6"/>
    <x v="8"/>
    <n v="20000"/>
    <x v="2"/>
    <n v="20000"/>
    <n v="30000"/>
    <x v="2"/>
    <x v="27"/>
    <n v="5"/>
    <x v="4"/>
    <s v="Q2"/>
    <x v="0"/>
    <s v="Top Seller"/>
    <x v="1"/>
  </r>
  <r>
    <s v="TI225"/>
    <x v="117"/>
    <s v="West"/>
    <s v="Kondiba Pawar"/>
    <s v="Detergent"/>
    <x v="0"/>
    <x v="6"/>
    <n v="12000"/>
    <x v="0"/>
    <n v="108000"/>
    <n v="162000"/>
    <x v="4"/>
    <x v="38"/>
    <n v="4"/>
    <x v="4"/>
    <s v="Q2"/>
    <x v="0"/>
    <s v="Top Seller"/>
    <x v="0"/>
  </r>
  <r>
    <s v="TI226"/>
    <x v="118"/>
    <s v="South"/>
    <s v="Sanket Mulgir"/>
    <s v="Milk"/>
    <x v="0"/>
    <x v="1"/>
    <n v="35000"/>
    <x v="3"/>
    <n v="140000"/>
    <n v="208000"/>
    <x v="2"/>
    <x v="22"/>
    <n v="5"/>
    <x v="2"/>
    <s v="Q2"/>
    <x v="0"/>
    <s v="Normal"/>
    <x v="0"/>
  </r>
  <r>
    <s v="TI227"/>
    <x v="119"/>
    <s v="West"/>
    <s v="Satyam Bhise"/>
    <s v="Cheese"/>
    <x v="0"/>
    <x v="2"/>
    <n v="6000"/>
    <x v="1"/>
    <n v="12000"/>
    <n v="20000"/>
    <x v="5"/>
    <x v="2"/>
    <n v="3"/>
    <x v="5"/>
    <s v="Q1"/>
    <x v="0"/>
    <s v="Normal"/>
    <x v="1"/>
  </r>
  <r>
    <s v="TI228"/>
    <x v="120"/>
    <s v="South"/>
    <s v="Sundar Kinkar"/>
    <s v="Milk"/>
    <x v="10"/>
    <x v="2"/>
    <n v="6000"/>
    <x v="1"/>
    <n v="12000"/>
    <n v="20000"/>
    <x v="3"/>
    <x v="2"/>
    <n v="10"/>
    <x v="2"/>
    <s v="Q4"/>
    <x v="0"/>
    <s v="Top Seller"/>
    <x v="1"/>
  </r>
  <r>
    <s v="TI229"/>
    <x v="121"/>
    <s v="West"/>
    <s v="Karan Butte"/>
    <s v="Wheat"/>
    <x v="9"/>
    <x v="1"/>
    <n v="20000"/>
    <x v="2"/>
    <n v="80000"/>
    <n v="120000"/>
    <x v="0"/>
    <x v="5"/>
    <n v="8"/>
    <x v="3"/>
    <s v="Q3"/>
    <x v="0"/>
    <s v="Normal"/>
    <x v="0"/>
  </r>
  <r>
    <s v="TI230"/>
    <x v="122"/>
    <s v="North"/>
    <s v="Raj Jagtap"/>
    <s v="Rice"/>
    <x v="1"/>
    <x v="2"/>
    <n v="12000"/>
    <x v="0"/>
    <n v="24000"/>
    <n v="36000"/>
    <x v="1"/>
    <x v="21"/>
    <n v="11"/>
    <x v="3"/>
    <s v="Q4"/>
    <x v="0"/>
    <s v="Normal"/>
    <x v="1"/>
  </r>
  <r>
    <s v="TI231"/>
    <x v="123"/>
    <s v="South"/>
    <s v="Sneha Kale"/>
    <s v="Coffee"/>
    <x v="9"/>
    <x v="4"/>
    <n v="1500"/>
    <x v="4"/>
    <n v="15000"/>
    <n v="30000"/>
    <x v="8"/>
    <x v="25"/>
    <n v="9"/>
    <x v="1"/>
    <s v="Q3"/>
    <x v="0"/>
    <s v="Normal"/>
    <x v="2"/>
  </r>
  <r>
    <s v="TI232"/>
    <x v="124"/>
    <s v="South"/>
    <s v="Saloni Jagtap"/>
    <s v="Rice"/>
    <x v="7"/>
    <x v="2"/>
    <n v="6000"/>
    <x v="1"/>
    <n v="12000"/>
    <n v="20000"/>
    <x v="7"/>
    <x v="2"/>
    <n v="1"/>
    <x v="4"/>
    <s v="Q1"/>
    <x v="0"/>
    <s v="Top Seller"/>
    <x v="1"/>
  </r>
  <r>
    <s v="TI233"/>
    <x v="125"/>
    <s v="East"/>
    <s v="Vaibhav Nirfhal"/>
    <s v="Shampoo"/>
    <x v="0"/>
    <x v="6"/>
    <n v="20000"/>
    <x v="2"/>
    <n v="180000"/>
    <n v="270000"/>
    <x v="6"/>
    <x v="12"/>
    <n v="6"/>
    <x v="0"/>
    <s v="Q2"/>
    <x v="0"/>
    <s v="Normal"/>
    <x v="0"/>
  </r>
  <r>
    <s v="TI234"/>
    <x v="126"/>
    <s v="East"/>
    <s v="Sundar Mali"/>
    <s v="Butter"/>
    <x v="5"/>
    <x v="8"/>
    <n v="12000"/>
    <x v="0"/>
    <n v="12000"/>
    <n v="18000"/>
    <x v="7"/>
    <x v="16"/>
    <n v="1"/>
    <x v="5"/>
    <s v="Q1"/>
    <x v="0"/>
    <s v="Normal"/>
    <x v="1"/>
  </r>
  <r>
    <s v="TI235"/>
    <x v="127"/>
    <s v="East"/>
    <s v="Asha Mane"/>
    <s v="Salt"/>
    <x v="0"/>
    <x v="0"/>
    <n v="1500"/>
    <x v="4"/>
    <n v="10500"/>
    <n v="21000"/>
    <x v="10"/>
    <x v="14"/>
    <n v="12"/>
    <x v="2"/>
    <s v="Q4"/>
    <x v="0"/>
    <s v="Normal"/>
    <x v="0"/>
  </r>
  <r>
    <s v="TI236"/>
    <x v="77"/>
    <s v="South"/>
    <s v="Priynka Yede"/>
    <s v="Milk"/>
    <x v="2"/>
    <x v="4"/>
    <n v="1500"/>
    <x v="4"/>
    <n v="15000"/>
    <n v="30000"/>
    <x v="7"/>
    <x v="25"/>
    <n v="1"/>
    <x v="2"/>
    <s v="Q1"/>
    <x v="0"/>
    <s v="Normal"/>
    <x v="2"/>
  </r>
  <r>
    <s v="TI237"/>
    <x v="128"/>
    <s v="West"/>
    <s v="Sakshi Puri"/>
    <s v="Eggs"/>
    <x v="0"/>
    <x v="1"/>
    <n v="1500"/>
    <x v="4"/>
    <n v="6000"/>
    <n v="12000"/>
    <x v="3"/>
    <x v="16"/>
    <n v="10"/>
    <x v="2"/>
    <s v="Q4"/>
    <x v="0"/>
    <s v="Top Seller"/>
    <x v="0"/>
  </r>
  <r>
    <s v="TI238"/>
    <x v="129"/>
    <s v="South"/>
    <s v="Rohan Mane"/>
    <s v="Milk"/>
    <x v="0"/>
    <x v="7"/>
    <n v="20000"/>
    <x v="2"/>
    <n v="60000"/>
    <n v="90000"/>
    <x v="11"/>
    <x v="23"/>
    <n v="2"/>
    <x v="0"/>
    <s v="Q1"/>
    <x v="0"/>
    <s v="Normal"/>
    <x v="0"/>
  </r>
  <r>
    <s v="TI239"/>
    <x v="130"/>
    <s v="South"/>
    <s v="Priynka Dange"/>
    <s v="Milk"/>
    <x v="0"/>
    <x v="2"/>
    <n v="6000"/>
    <x v="1"/>
    <n v="12000"/>
    <n v="20000"/>
    <x v="11"/>
    <x v="2"/>
    <n v="2"/>
    <x v="4"/>
    <s v="Q1"/>
    <x v="0"/>
    <s v="Top Seller"/>
    <x v="1"/>
  </r>
  <r>
    <s v="TI240"/>
    <x v="131"/>
    <s v="South"/>
    <s v="Rohan Ingole"/>
    <s v="Cheese"/>
    <x v="11"/>
    <x v="0"/>
    <n v="6000"/>
    <x v="1"/>
    <n v="42000"/>
    <n v="70000"/>
    <x v="11"/>
    <x v="39"/>
    <n v="2"/>
    <x v="0"/>
    <s v="Q1"/>
    <x v="0"/>
    <s v="Top Seller"/>
    <x v="0"/>
  </r>
  <r>
    <s v="TI241"/>
    <x v="132"/>
    <s v="South"/>
    <s v="Dinesh Dange"/>
    <s v="Bread"/>
    <x v="2"/>
    <x v="7"/>
    <n v="12000"/>
    <x v="0"/>
    <n v="36000"/>
    <n v="54000"/>
    <x v="3"/>
    <x v="29"/>
    <n v="10"/>
    <x v="2"/>
    <s v="Q4"/>
    <x v="0"/>
    <s v="Top Seller"/>
    <x v="0"/>
  </r>
  <r>
    <s v="TI242"/>
    <x v="133"/>
    <s v="North"/>
    <s v="Dinesh Butte"/>
    <s v="Vegetables"/>
    <x v="4"/>
    <x v="1"/>
    <n v="35000"/>
    <x v="3"/>
    <n v="140000"/>
    <n v="208000"/>
    <x v="4"/>
    <x v="22"/>
    <n v="4"/>
    <x v="5"/>
    <s v="Q2"/>
    <x v="0"/>
    <s v="Normal"/>
    <x v="0"/>
  </r>
  <r>
    <s v="TI243"/>
    <x v="134"/>
    <s v="East"/>
    <s v="Priynka Pawar"/>
    <s v="Biscuits"/>
    <x v="0"/>
    <x v="2"/>
    <n v="6000"/>
    <x v="1"/>
    <n v="12000"/>
    <n v="20000"/>
    <x v="2"/>
    <x v="2"/>
    <n v="5"/>
    <x v="2"/>
    <s v="Q2"/>
    <x v="0"/>
    <s v="Normal"/>
    <x v="1"/>
  </r>
  <r>
    <s v="TI244"/>
    <x v="135"/>
    <s v="West"/>
    <s v="Asha Butte"/>
    <s v="Milk"/>
    <x v="7"/>
    <x v="2"/>
    <n v="12000"/>
    <x v="0"/>
    <n v="24000"/>
    <n v="36000"/>
    <x v="10"/>
    <x v="21"/>
    <n v="12"/>
    <x v="5"/>
    <s v="Q4"/>
    <x v="0"/>
    <s v="Normal"/>
    <x v="1"/>
  </r>
  <r>
    <s v="TI245"/>
    <x v="136"/>
    <s v="East"/>
    <s v="Sakshi Gaikwad"/>
    <s v="Soap"/>
    <x v="4"/>
    <x v="7"/>
    <n v="6000"/>
    <x v="1"/>
    <n v="18000"/>
    <n v="30000"/>
    <x v="7"/>
    <x v="21"/>
    <n v="1"/>
    <x v="5"/>
    <s v="Q1"/>
    <x v="0"/>
    <s v="Top Seller"/>
    <x v="0"/>
  </r>
  <r>
    <s v="TI246"/>
    <x v="137"/>
    <s v="North"/>
    <s v="Pradip Mulgir"/>
    <s v="Biscuits"/>
    <x v="2"/>
    <x v="7"/>
    <n v="20000"/>
    <x v="2"/>
    <n v="60000"/>
    <n v="90000"/>
    <x v="4"/>
    <x v="23"/>
    <n v="4"/>
    <x v="1"/>
    <s v="Q2"/>
    <x v="0"/>
    <s v="Normal"/>
    <x v="0"/>
  </r>
  <r>
    <s v="TI247"/>
    <x v="138"/>
    <s v="East"/>
    <s v="Sundar Sawant"/>
    <s v="Vegetables"/>
    <x v="8"/>
    <x v="2"/>
    <n v="12000"/>
    <x v="0"/>
    <n v="24000"/>
    <n v="36000"/>
    <x v="10"/>
    <x v="21"/>
    <n v="12"/>
    <x v="3"/>
    <s v="Q4"/>
    <x v="0"/>
    <s v="Normal"/>
    <x v="1"/>
  </r>
  <r>
    <s v="TI248"/>
    <x v="139"/>
    <s v="South"/>
    <s v="Asha Bhole"/>
    <s v="Cooking"/>
    <x v="10"/>
    <x v="1"/>
    <n v="1500"/>
    <x v="4"/>
    <n v="6000"/>
    <n v="12000"/>
    <x v="11"/>
    <x v="16"/>
    <n v="2"/>
    <x v="4"/>
    <s v="Q1"/>
    <x v="0"/>
    <s v="Top Seller"/>
    <x v="0"/>
  </r>
  <r>
    <s v="TI249"/>
    <x v="140"/>
    <s v="North"/>
    <s v="Asha Gaikwad"/>
    <s v="Wheat"/>
    <x v="2"/>
    <x v="5"/>
    <n v="20000"/>
    <x v="2"/>
    <n v="100000"/>
    <n v="150000"/>
    <x v="0"/>
    <x v="15"/>
    <n v="8"/>
    <x v="4"/>
    <s v="Q3"/>
    <x v="0"/>
    <s v="Top Seller"/>
    <x v="0"/>
  </r>
  <r>
    <s v="TI250"/>
    <x v="141"/>
    <s v="East"/>
    <s v="Sachin Dhokar"/>
    <s v="Eggs"/>
    <x v="0"/>
    <x v="1"/>
    <n v="35000"/>
    <x v="3"/>
    <n v="140000"/>
    <n v="208000"/>
    <x v="7"/>
    <x v="22"/>
    <n v="1"/>
    <x v="5"/>
    <s v="Q1"/>
    <x v="0"/>
    <s v="Top Seller"/>
    <x v="0"/>
  </r>
  <r>
    <s v="TI251"/>
    <x v="142"/>
    <s v="North"/>
    <s v="Saloni Puri"/>
    <s v="Cheese"/>
    <x v="0"/>
    <x v="5"/>
    <n v="35000"/>
    <x v="3"/>
    <n v="175000"/>
    <n v="260000"/>
    <x v="0"/>
    <x v="7"/>
    <n v="8"/>
    <x v="5"/>
    <s v="Q3"/>
    <x v="0"/>
    <s v="Top Seller"/>
    <x v="0"/>
  </r>
  <r>
    <s v="TI252"/>
    <x v="143"/>
    <s v="West"/>
    <s v="Kondiba Mulgir"/>
    <s v="Cheese"/>
    <x v="11"/>
    <x v="4"/>
    <n v="6000"/>
    <x v="1"/>
    <n v="60000"/>
    <n v="100000"/>
    <x v="9"/>
    <x v="5"/>
    <n v="7"/>
    <x v="0"/>
    <s v="Q3"/>
    <x v="0"/>
    <s v="Top Seller"/>
    <x v="2"/>
  </r>
  <r>
    <s v="TI253"/>
    <x v="144"/>
    <s v="East"/>
    <s v="Sachin Fartade"/>
    <s v="Bread"/>
    <x v="9"/>
    <x v="2"/>
    <n v="35000"/>
    <x v="3"/>
    <n v="70000"/>
    <n v="104000"/>
    <x v="8"/>
    <x v="30"/>
    <n v="9"/>
    <x v="1"/>
    <s v="Q3"/>
    <x v="0"/>
    <s v="Top Seller"/>
    <x v="1"/>
  </r>
  <r>
    <s v="TI254"/>
    <x v="145"/>
    <s v="South"/>
    <s v="Rutuja Bhise"/>
    <s v="Rice"/>
    <x v="9"/>
    <x v="3"/>
    <n v="20000"/>
    <x v="2"/>
    <n v="120000"/>
    <n v="180000"/>
    <x v="8"/>
    <x v="31"/>
    <n v="9"/>
    <x v="2"/>
    <s v="Q3"/>
    <x v="0"/>
    <s v="Top Seller"/>
    <x v="0"/>
  </r>
  <r>
    <s v="TI255"/>
    <x v="146"/>
    <s v="North"/>
    <s v="Satyam Tandle"/>
    <s v="Rice"/>
    <x v="2"/>
    <x v="4"/>
    <n v="6000"/>
    <x v="1"/>
    <n v="60000"/>
    <n v="100000"/>
    <x v="0"/>
    <x v="5"/>
    <n v="8"/>
    <x v="3"/>
    <s v="Q3"/>
    <x v="0"/>
    <s v="Normal"/>
    <x v="2"/>
  </r>
  <r>
    <s v="TI256"/>
    <x v="64"/>
    <s v="North"/>
    <s v="Priynka Ghule"/>
    <s v="Vegetables"/>
    <x v="8"/>
    <x v="8"/>
    <n v="6000"/>
    <x v="1"/>
    <n v="6000"/>
    <n v="10000"/>
    <x v="8"/>
    <x v="20"/>
    <n v="9"/>
    <x v="0"/>
    <s v="Q3"/>
    <x v="0"/>
    <s v="Top Seller"/>
    <x v="1"/>
  </r>
  <r>
    <s v="TI257"/>
    <x v="147"/>
    <s v="East"/>
    <s v="Priynka Ingole"/>
    <s v="Cooking"/>
    <x v="11"/>
    <x v="9"/>
    <n v="35000"/>
    <x v="3"/>
    <n v="280000"/>
    <n v="416000"/>
    <x v="2"/>
    <x v="28"/>
    <n v="5"/>
    <x v="4"/>
    <s v="Q2"/>
    <x v="0"/>
    <s v="Top Seller"/>
    <x v="0"/>
  </r>
  <r>
    <s v="TI258"/>
    <x v="148"/>
    <s v="West"/>
    <s v="Sahil Ingle"/>
    <s v="Bread"/>
    <x v="8"/>
    <x v="4"/>
    <n v="35000"/>
    <x v="3"/>
    <n v="350000"/>
    <n v="520000"/>
    <x v="6"/>
    <x v="33"/>
    <n v="6"/>
    <x v="3"/>
    <s v="Q2"/>
    <x v="0"/>
    <s v="Normal"/>
    <x v="2"/>
  </r>
  <r>
    <s v="TI259"/>
    <x v="58"/>
    <s v="South"/>
    <s v="Shivanad Mali"/>
    <s v="Cooking"/>
    <x v="0"/>
    <x v="2"/>
    <n v="6000"/>
    <x v="1"/>
    <n v="12000"/>
    <n v="20000"/>
    <x v="9"/>
    <x v="2"/>
    <n v="7"/>
    <x v="5"/>
    <s v="Q3"/>
    <x v="0"/>
    <s v="Top Seller"/>
    <x v="1"/>
  </r>
  <r>
    <s v="TI260"/>
    <x v="149"/>
    <s v="East"/>
    <s v="Sakshi Dange"/>
    <s v="Butter"/>
    <x v="5"/>
    <x v="1"/>
    <n v="20000"/>
    <x v="2"/>
    <n v="80000"/>
    <n v="120000"/>
    <x v="6"/>
    <x v="5"/>
    <n v="6"/>
    <x v="2"/>
    <s v="Q2"/>
    <x v="0"/>
    <s v="Normal"/>
    <x v="0"/>
  </r>
  <r>
    <s v="TI261"/>
    <x v="150"/>
    <s v="North"/>
    <s v="Sneha Mulgir"/>
    <s v="Salt"/>
    <x v="11"/>
    <x v="8"/>
    <n v="1500"/>
    <x v="4"/>
    <n v="1500"/>
    <n v="3000"/>
    <x v="10"/>
    <x v="17"/>
    <n v="12"/>
    <x v="3"/>
    <s v="Q4"/>
    <x v="0"/>
    <s v="Normal"/>
    <x v="1"/>
  </r>
  <r>
    <s v="TI262"/>
    <x v="33"/>
    <s v="East"/>
    <s v="Sachin Jadhav"/>
    <s v="Bread"/>
    <x v="9"/>
    <x v="2"/>
    <n v="12000"/>
    <x v="0"/>
    <n v="24000"/>
    <n v="36000"/>
    <x v="8"/>
    <x v="21"/>
    <n v="9"/>
    <x v="5"/>
    <s v="Q3"/>
    <x v="0"/>
    <s v="Normal"/>
    <x v="1"/>
  </r>
  <r>
    <s v="TI263"/>
    <x v="151"/>
    <s v="North"/>
    <s v="Maroti Mane"/>
    <s v="Rice"/>
    <x v="5"/>
    <x v="8"/>
    <n v="20000"/>
    <x v="2"/>
    <n v="20000"/>
    <n v="30000"/>
    <x v="6"/>
    <x v="27"/>
    <n v="6"/>
    <x v="5"/>
    <s v="Q2"/>
    <x v="0"/>
    <s v="Top Seller"/>
    <x v="1"/>
  </r>
  <r>
    <s v="TI264"/>
    <x v="59"/>
    <s v="East"/>
    <s v="Ruchita Mulgir"/>
    <s v="Salt"/>
    <x v="10"/>
    <x v="1"/>
    <n v="35000"/>
    <x v="3"/>
    <n v="140000"/>
    <n v="208000"/>
    <x v="5"/>
    <x v="22"/>
    <n v="3"/>
    <x v="2"/>
    <s v="Q1"/>
    <x v="0"/>
    <s v="Top Seller"/>
    <x v="0"/>
  </r>
  <r>
    <s v="TI265"/>
    <x v="152"/>
    <s v="North"/>
    <s v="Sahil Bhise"/>
    <s v="Wheat"/>
    <x v="5"/>
    <x v="3"/>
    <n v="6000"/>
    <x v="1"/>
    <n v="36000"/>
    <n v="60000"/>
    <x v="2"/>
    <x v="1"/>
    <n v="5"/>
    <x v="1"/>
    <s v="Q2"/>
    <x v="0"/>
    <s v="Top Seller"/>
    <x v="0"/>
  </r>
  <r>
    <s v="TI266"/>
    <x v="153"/>
    <s v="West"/>
    <s v="Sanket Butte"/>
    <s v="Salt"/>
    <x v="1"/>
    <x v="0"/>
    <n v="35000"/>
    <x v="3"/>
    <n v="245000"/>
    <n v="364000"/>
    <x v="8"/>
    <x v="9"/>
    <n v="9"/>
    <x v="2"/>
    <s v="Q3"/>
    <x v="0"/>
    <s v="Normal"/>
    <x v="0"/>
  </r>
  <r>
    <s v="TI267"/>
    <x v="154"/>
    <s v="North"/>
    <s v="Ganesh Thorat"/>
    <s v="Tea"/>
    <x v="11"/>
    <x v="3"/>
    <n v="1500"/>
    <x v="4"/>
    <n v="9000"/>
    <n v="18000"/>
    <x v="4"/>
    <x v="32"/>
    <n v="4"/>
    <x v="3"/>
    <s v="Q2"/>
    <x v="0"/>
    <s v="Normal"/>
    <x v="0"/>
  </r>
  <r>
    <s v="TI268"/>
    <x v="155"/>
    <s v="North"/>
    <s v="Kondiba Mane"/>
    <s v="Bread"/>
    <x v="7"/>
    <x v="8"/>
    <n v="12000"/>
    <x v="0"/>
    <n v="12000"/>
    <n v="18000"/>
    <x v="3"/>
    <x v="16"/>
    <n v="10"/>
    <x v="2"/>
    <s v="Q4"/>
    <x v="0"/>
    <s v="Normal"/>
    <x v="1"/>
  </r>
  <r>
    <s v="TI269"/>
    <x v="156"/>
    <s v="South"/>
    <s v="Karan Pawar"/>
    <s v="Soap"/>
    <x v="2"/>
    <x v="2"/>
    <n v="6000"/>
    <x v="1"/>
    <n v="12000"/>
    <n v="20000"/>
    <x v="1"/>
    <x v="2"/>
    <n v="11"/>
    <x v="4"/>
    <s v="Q4"/>
    <x v="0"/>
    <s v="Top Seller"/>
    <x v="1"/>
  </r>
  <r>
    <s v="TI270"/>
    <x v="157"/>
    <s v="South"/>
    <s v="Sachin Tayde"/>
    <s v="Fruits"/>
    <x v="2"/>
    <x v="1"/>
    <n v="20000"/>
    <x v="2"/>
    <n v="80000"/>
    <n v="120000"/>
    <x v="11"/>
    <x v="5"/>
    <n v="2"/>
    <x v="1"/>
    <s v="Q1"/>
    <x v="0"/>
    <s v="Normal"/>
    <x v="0"/>
  </r>
  <r>
    <s v="TI271"/>
    <x v="158"/>
    <s v="East"/>
    <s v="Asha Jagtap"/>
    <s v="Eggs"/>
    <x v="2"/>
    <x v="6"/>
    <n v="1500"/>
    <x v="4"/>
    <n v="13500"/>
    <n v="27000"/>
    <x v="11"/>
    <x v="18"/>
    <n v="2"/>
    <x v="1"/>
    <s v="Q1"/>
    <x v="0"/>
    <s v="Normal"/>
    <x v="0"/>
  </r>
  <r>
    <s v="TI272"/>
    <x v="159"/>
    <s v="West"/>
    <s v="Kartik Pawar"/>
    <s v="Vegetables"/>
    <x v="6"/>
    <x v="8"/>
    <n v="12000"/>
    <x v="0"/>
    <n v="12000"/>
    <n v="18000"/>
    <x v="2"/>
    <x v="16"/>
    <n v="5"/>
    <x v="4"/>
    <s v="Q2"/>
    <x v="0"/>
    <s v="Normal"/>
    <x v="1"/>
  </r>
  <r>
    <s v="TI273"/>
    <x v="160"/>
    <s v="North"/>
    <s v="Sundar Dange"/>
    <s v="Detergent"/>
    <x v="4"/>
    <x v="1"/>
    <n v="1500"/>
    <x v="4"/>
    <n v="6000"/>
    <n v="12000"/>
    <x v="0"/>
    <x v="16"/>
    <n v="8"/>
    <x v="3"/>
    <s v="Q3"/>
    <x v="0"/>
    <s v="Top Seller"/>
    <x v="0"/>
  </r>
  <r>
    <s v="TI274"/>
    <x v="161"/>
    <s v="South"/>
    <s v="Karan Kinkar"/>
    <s v="Biscuits"/>
    <x v="8"/>
    <x v="1"/>
    <n v="12000"/>
    <x v="0"/>
    <n v="48000"/>
    <n v="72000"/>
    <x v="8"/>
    <x v="1"/>
    <n v="9"/>
    <x v="3"/>
    <s v="Q3"/>
    <x v="0"/>
    <s v="Top Seller"/>
    <x v="0"/>
  </r>
  <r>
    <s v="TI275"/>
    <x v="162"/>
    <s v="South"/>
    <s v="Sneha Ingole"/>
    <s v="Cooking"/>
    <x v="3"/>
    <x v="4"/>
    <n v="12000"/>
    <x v="0"/>
    <n v="120000"/>
    <n v="180000"/>
    <x v="9"/>
    <x v="31"/>
    <n v="7"/>
    <x v="5"/>
    <s v="Q3"/>
    <x v="0"/>
    <s v="Normal"/>
    <x v="2"/>
  </r>
  <r>
    <s v="TI276"/>
    <x v="163"/>
    <s v="South"/>
    <s v="Ruchita Ghule"/>
    <s v="Lentils"/>
    <x v="7"/>
    <x v="7"/>
    <n v="1500"/>
    <x v="4"/>
    <n v="4500"/>
    <n v="9000"/>
    <x v="4"/>
    <x v="11"/>
    <n v="4"/>
    <x v="0"/>
    <s v="Q2"/>
    <x v="0"/>
    <s v="Normal"/>
    <x v="0"/>
  </r>
  <r>
    <s v="TI277"/>
    <x v="164"/>
    <s v="West"/>
    <s v="Kartik Sawant"/>
    <s v="Toothpaste"/>
    <x v="2"/>
    <x v="7"/>
    <n v="6000"/>
    <x v="1"/>
    <n v="18000"/>
    <n v="30000"/>
    <x v="3"/>
    <x v="21"/>
    <n v="10"/>
    <x v="4"/>
    <s v="Q4"/>
    <x v="0"/>
    <s v="Top Seller"/>
    <x v="0"/>
  </r>
  <r>
    <s v="TI278"/>
    <x v="165"/>
    <s v="East"/>
    <s v="Kondiba Tayde"/>
    <s v="Fruits"/>
    <x v="4"/>
    <x v="6"/>
    <n v="35000"/>
    <x v="3"/>
    <n v="315000"/>
    <n v="468000"/>
    <x v="3"/>
    <x v="35"/>
    <n v="10"/>
    <x v="5"/>
    <s v="Q4"/>
    <x v="0"/>
    <s v="Top Seller"/>
    <x v="0"/>
  </r>
  <r>
    <s v="TI279"/>
    <x v="166"/>
    <s v="North"/>
    <s v="Kartik Mane"/>
    <s v="Biscuits"/>
    <x v="2"/>
    <x v="0"/>
    <n v="12000"/>
    <x v="0"/>
    <n v="84000"/>
    <n v="126000"/>
    <x v="5"/>
    <x v="0"/>
    <n v="3"/>
    <x v="0"/>
    <s v="Q1"/>
    <x v="0"/>
    <s v="Top Seller"/>
    <x v="0"/>
  </r>
  <r>
    <s v="TI280"/>
    <x v="167"/>
    <s v="East"/>
    <s v="Raj Butte"/>
    <s v="Vegetables"/>
    <x v="2"/>
    <x v="3"/>
    <n v="20000"/>
    <x v="2"/>
    <n v="120000"/>
    <n v="180000"/>
    <x v="2"/>
    <x v="31"/>
    <n v="5"/>
    <x v="0"/>
    <s v="Q2"/>
    <x v="0"/>
    <s v="Top Seller"/>
    <x v="0"/>
  </r>
  <r>
    <s v="TI281"/>
    <x v="168"/>
    <s v="South"/>
    <s v="Sakshi Sawant"/>
    <s v="Vegetables"/>
    <x v="8"/>
    <x v="0"/>
    <n v="35000"/>
    <x v="3"/>
    <n v="245000"/>
    <n v="364000"/>
    <x v="8"/>
    <x v="9"/>
    <n v="9"/>
    <x v="3"/>
    <s v="Q3"/>
    <x v="0"/>
    <s v="Top Seller"/>
    <x v="0"/>
  </r>
  <r>
    <s v="TI282"/>
    <x v="49"/>
    <s v="North"/>
    <s v="Kartik Nirfhal"/>
    <s v="Cooking"/>
    <x v="4"/>
    <x v="9"/>
    <n v="20000"/>
    <x v="2"/>
    <n v="160000"/>
    <n v="240000"/>
    <x v="3"/>
    <x v="37"/>
    <n v="10"/>
    <x v="4"/>
    <s v="Q4"/>
    <x v="0"/>
    <s v="Normal"/>
    <x v="0"/>
  </r>
  <r>
    <s v="TI283"/>
    <x v="169"/>
    <s v="West"/>
    <s v="Maroti Fartade"/>
    <s v="Biscuits"/>
    <x v="4"/>
    <x v="1"/>
    <n v="6000"/>
    <x v="1"/>
    <n v="24000"/>
    <n v="40000"/>
    <x v="9"/>
    <x v="24"/>
    <n v="7"/>
    <x v="4"/>
    <s v="Q3"/>
    <x v="0"/>
    <s v="Top Seller"/>
    <x v="0"/>
  </r>
  <r>
    <s v="TI284"/>
    <x v="170"/>
    <s v="West"/>
    <s v="Sahil Mali"/>
    <s v="Biscuits"/>
    <x v="6"/>
    <x v="0"/>
    <n v="6000"/>
    <x v="1"/>
    <n v="42000"/>
    <n v="70000"/>
    <x v="11"/>
    <x v="39"/>
    <n v="2"/>
    <x v="4"/>
    <s v="Q1"/>
    <x v="0"/>
    <s v="Top Seller"/>
    <x v="0"/>
  </r>
  <r>
    <s v="TI285"/>
    <x v="171"/>
    <s v="North"/>
    <s v="Sachin Mane"/>
    <s v="Detergent"/>
    <x v="5"/>
    <x v="9"/>
    <n v="12000"/>
    <x v="0"/>
    <n v="96000"/>
    <n v="144000"/>
    <x v="0"/>
    <x v="40"/>
    <n v="8"/>
    <x v="4"/>
    <s v="Q3"/>
    <x v="0"/>
    <s v="Normal"/>
    <x v="0"/>
  </r>
  <r>
    <s v="TI286"/>
    <x v="172"/>
    <s v="East"/>
    <s v="Rohan Pawar"/>
    <s v="Sugar"/>
    <x v="9"/>
    <x v="3"/>
    <n v="1500"/>
    <x v="4"/>
    <n v="9000"/>
    <n v="18000"/>
    <x v="4"/>
    <x v="32"/>
    <n v="4"/>
    <x v="5"/>
    <s v="Q2"/>
    <x v="0"/>
    <s v="Top Seller"/>
    <x v="0"/>
  </r>
  <r>
    <s v="TI287"/>
    <x v="173"/>
    <s v="North"/>
    <s v="Ruchita Bhise"/>
    <s v="Rice"/>
    <x v="11"/>
    <x v="8"/>
    <n v="35000"/>
    <x v="3"/>
    <n v="35000"/>
    <n v="52000"/>
    <x v="6"/>
    <x v="34"/>
    <n v="6"/>
    <x v="0"/>
    <s v="Q2"/>
    <x v="0"/>
    <s v="Normal"/>
    <x v="1"/>
  </r>
  <r>
    <s v="TI288"/>
    <x v="174"/>
    <s v="South"/>
    <s v="Amruta Fartade"/>
    <s v="Bread"/>
    <x v="10"/>
    <x v="8"/>
    <n v="12000"/>
    <x v="0"/>
    <n v="12000"/>
    <n v="18000"/>
    <x v="4"/>
    <x v="16"/>
    <n v="4"/>
    <x v="4"/>
    <s v="Q2"/>
    <x v="0"/>
    <s v="Top Seller"/>
    <x v="1"/>
  </r>
  <r>
    <s v="TI289"/>
    <x v="175"/>
    <s v="West"/>
    <s v="Sneha Yede"/>
    <s v="Wheat"/>
    <x v="1"/>
    <x v="3"/>
    <n v="12000"/>
    <x v="0"/>
    <n v="72000"/>
    <n v="108000"/>
    <x v="1"/>
    <x v="3"/>
    <n v="11"/>
    <x v="5"/>
    <s v="Q4"/>
    <x v="0"/>
    <s v="Top Seller"/>
    <x v="0"/>
  </r>
  <r>
    <s v="TI290"/>
    <x v="176"/>
    <s v="West"/>
    <s v="Dinesh Gaikwad"/>
    <s v="Tea"/>
    <x v="0"/>
    <x v="1"/>
    <n v="20000"/>
    <x v="2"/>
    <n v="80000"/>
    <n v="120000"/>
    <x v="3"/>
    <x v="5"/>
    <n v="10"/>
    <x v="1"/>
    <s v="Q4"/>
    <x v="0"/>
    <s v="Top Seller"/>
    <x v="0"/>
  </r>
  <r>
    <s v="TI291"/>
    <x v="14"/>
    <s v="West"/>
    <s v="Sakshi Ghule"/>
    <s v="Butter"/>
    <x v="2"/>
    <x v="3"/>
    <n v="20000"/>
    <x v="2"/>
    <n v="120000"/>
    <n v="180000"/>
    <x v="0"/>
    <x v="31"/>
    <n v="8"/>
    <x v="1"/>
    <s v="Q3"/>
    <x v="0"/>
    <s v="Top Seller"/>
    <x v="0"/>
  </r>
  <r>
    <s v="TI292"/>
    <x v="177"/>
    <s v="West"/>
    <s v="Saloni Dange"/>
    <s v="Fruits"/>
    <x v="2"/>
    <x v="3"/>
    <n v="12000"/>
    <x v="0"/>
    <n v="72000"/>
    <n v="108000"/>
    <x v="8"/>
    <x v="3"/>
    <n v="9"/>
    <x v="4"/>
    <s v="Q3"/>
    <x v="0"/>
    <s v="Top Seller"/>
    <x v="0"/>
  </r>
  <r>
    <s v="TI293"/>
    <x v="178"/>
    <s v="South"/>
    <s v="Raj Butte"/>
    <s v="Eggs"/>
    <x v="2"/>
    <x v="3"/>
    <n v="20000"/>
    <x v="2"/>
    <n v="120000"/>
    <n v="180000"/>
    <x v="4"/>
    <x v="31"/>
    <n v="4"/>
    <x v="5"/>
    <s v="Q2"/>
    <x v="0"/>
    <s v="Normal"/>
    <x v="0"/>
  </r>
  <r>
    <s v="TI294"/>
    <x v="179"/>
    <s v="North"/>
    <s v="Ganesh Nirfhal"/>
    <s v="Vegetables"/>
    <x v="0"/>
    <x v="1"/>
    <n v="6000"/>
    <x v="1"/>
    <n v="24000"/>
    <n v="40000"/>
    <x v="4"/>
    <x v="24"/>
    <n v="4"/>
    <x v="0"/>
    <s v="Q2"/>
    <x v="0"/>
    <s v="Top Seller"/>
    <x v="0"/>
  </r>
  <r>
    <s v="TI295"/>
    <x v="180"/>
    <s v="East"/>
    <s v="Asha Mulgir"/>
    <s v="Milk"/>
    <x v="1"/>
    <x v="0"/>
    <n v="20000"/>
    <x v="2"/>
    <n v="140000"/>
    <n v="210000"/>
    <x v="1"/>
    <x v="13"/>
    <n v="11"/>
    <x v="3"/>
    <s v="Q4"/>
    <x v="0"/>
    <s v="Top Seller"/>
    <x v="0"/>
  </r>
  <r>
    <s v="TI296"/>
    <x v="181"/>
    <s v="West"/>
    <s v="Sneha Fartade"/>
    <s v="Tea"/>
    <x v="3"/>
    <x v="6"/>
    <n v="35000"/>
    <x v="3"/>
    <n v="315000"/>
    <n v="468000"/>
    <x v="10"/>
    <x v="35"/>
    <n v="12"/>
    <x v="5"/>
    <s v="Q4"/>
    <x v="0"/>
    <s v="Top Seller"/>
    <x v="0"/>
  </r>
  <r>
    <s v="TI297"/>
    <x v="182"/>
    <s v="North"/>
    <s v="Maroti Kinkar"/>
    <s v="Lentils"/>
    <x v="6"/>
    <x v="1"/>
    <n v="35000"/>
    <x v="3"/>
    <n v="140000"/>
    <n v="208000"/>
    <x v="0"/>
    <x v="22"/>
    <n v="8"/>
    <x v="2"/>
    <s v="Q3"/>
    <x v="0"/>
    <s v="Top Seller"/>
    <x v="0"/>
  </r>
  <r>
    <s v="TI298"/>
    <x v="183"/>
    <s v="South"/>
    <s v="Kartik Pawar"/>
    <s v="Detergent"/>
    <x v="10"/>
    <x v="0"/>
    <n v="6000"/>
    <x v="1"/>
    <n v="42000"/>
    <n v="70000"/>
    <x v="3"/>
    <x v="39"/>
    <n v="10"/>
    <x v="5"/>
    <s v="Q4"/>
    <x v="0"/>
    <s v="Normal"/>
    <x v="0"/>
  </r>
  <r>
    <s v="TI299"/>
    <x v="184"/>
    <s v="East"/>
    <s v="Sachin Kale"/>
    <s v="Wheat"/>
    <x v="2"/>
    <x v="7"/>
    <n v="6000"/>
    <x v="1"/>
    <n v="18000"/>
    <n v="30000"/>
    <x v="9"/>
    <x v="21"/>
    <n v="7"/>
    <x v="3"/>
    <s v="Q3"/>
    <x v="0"/>
    <s v="Top Seller"/>
    <x v="0"/>
  </r>
  <r>
    <s v="TI300"/>
    <x v="185"/>
    <s v="North"/>
    <s v="Maroti Mane"/>
    <s v="Vegetables"/>
    <x v="2"/>
    <x v="1"/>
    <n v="20000"/>
    <x v="2"/>
    <n v="80000"/>
    <n v="120000"/>
    <x v="2"/>
    <x v="5"/>
    <n v="5"/>
    <x v="2"/>
    <s v="Q2"/>
    <x v="0"/>
    <s v="Normal"/>
    <x v="0"/>
  </r>
</pivotCacheRecords>
</file>

<file path=xl/pivotCache/pivotCacheRecords3.xml><?xml version="1.0" encoding="utf-8"?>
<pivotCacheRecords xmlns="http://schemas.openxmlformats.org/spreadsheetml/2006/main" xmlns:r="http://schemas.openxmlformats.org/officeDocument/2006/relationships" count="228">
  <r>
    <s v="TI101"/>
    <d v="2024-08-31T00:00:00"/>
    <s v="South"/>
    <s v="Kiran Thorat"/>
    <s v="Rice"/>
    <s v="Dairy  "/>
    <n v="7"/>
    <n v="12000"/>
    <n v="18000"/>
    <n v="84000"/>
    <n v="126000"/>
    <n v="8"/>
    <n v="42000"/>
    <n v="8"/>
    <n v="2024"/>
    <s v="Q3"/>
    <s v="Profit"/>
    <s v="Top Seller"/>
    <s v="Pending"/>
  </r>
  <r>
    <s v="TI102"/>
    <d v="2023-11-21T00:00:00"/>
    <s v="West"/>
    <s v="Maroti Bhise"/>
    <s v="Cheese"/>
    <s v="Beverages  "/>
    <n v="4"/>
    <n v="12000"/>
    <n v="18000"/>
    <n v="48000"/>
    <n v="72000"/>
    <n v="11"/>
    <n v="24000"/>
    <n v="11"/>
    <n v="2023"/>
    <s v="Q4"/>
    <s v="Profit"/>
    <s v="Normal"/>
    <s v="Pending"/>
  </r>
  <r>
    <s v="TI103"/>
    <d v="2025-05-04T00:00:00"/>
    <s v="East"/>
    <s v="Sachin Kale"/>
    <s v="Tea"/>
    <s v="Produce  "/>
    <n v="2"/>
    <n v="6000"/>
    <n v="10000"/>
    <n v="12000"/>
    <n v="20000"/>
    <n v="5"/>
    <n v="8000"/>
    <n v="5"/>
    <n v="2025"/>
    <s v="Q2"/>
    <s v="Profit"/>
    <s v="Top Seller"/>
    <s v="Cancelled"/>
  </r>
  <r>
    <s v="TI104"/>
    <d v="2024-10-31T00:00:00"/>
    <s v="North"/>
    <s v="Satyam Dange"/>
    <s v="Eggs"/>
    <s v="Beverages  "/>
    <n v="6"/>
    <n v="12000"/>
    <n v="18000"/>
    <n v="72000"/>
    <n v="108000"/>
    <n v="10"/>
    <n v="36000"/>
    <n v="10"/>
    <n v="2024"/>
    <s v="Q4"/>
    <s v="Profit"/>
    <s v="Top Seller"/>
    <s v="Pending"/>
  </r>
  <r>
    <s v="TI105"/>
    <d v="2024-11-10T00:00:00"/>
    <s v="East"/>
    <s v="Ganesh Mali"/>
    <s v="Coffee"/>
    <s v="(dal) Pulses "/>
    <n v="2"/>
    <n v="20000"/>
    <n v="30000"/>
    <n v="40000"/>
    <n v="60000"/>
    <n v="11"/>
    <n v="20000"/>
    <n v="11"/>
    <n v="2024"/>
    <s v="Q4"/>
    <s v="Profit"/>
    <s v="Top Seller"/>
    <s v="Cancelled"/>
  </r>
  <r>
    <s v="TI106"/>
    <d v="2022-05-18T00:00:00"/>
    <s v="South"/>
    <s v="Shivanad Butte"/>
    <s v="Lentils"/>
    <s v="Produce  "/>
    <n v="4"/>
    <n v="12000"/>
    <n v="18000"/>
    <n v="48000"/>
    <n v="72000"/>
    <n v="5"/>
    <n v="24000"/>
    <n v="5"/>
    <n v="2022"/>
    <s v="Q2"/>
    <s v="Profit"/>
    <s v="Top Seller"/>
    <s v="Pending"/>
  </r>
  <r>
    <s v="TI107"/>
    <d v="2023-04-25T00:00:00"/>
    <s v="North"/>
    <s v="Raj Kinkar"/>
    <s v="Eggs"/>
    <s v="Produce  "/>
    <n v="10"/>
    <n v="6000"/>
    <n v="10000"/>
    <n v="60000"/>
    <n v="100000"/>
    <n v="4"/>
    <n v="40000"/>
    <n v="4"/>
    <n v="2023"/>
    <s v="Q2"/>
    <s v="Profit"/>
    <s v="Top Seller"/>
    <s v="Completed"/>
  </r>
  <r>
    <s v="TI108"/>
    <d v="2022-03-14T00:00:00"/>
    <s v="West"/>
    <s v="Kondiba Mulgir"/>
    <s v="Fruits"/>
    <s v="Produce  "/>
    <n v="6"/>
    <n v="35000"/>
    <n v="52000"/>
    <n v="210000"/>
    <n v="312000"/>
    <n v="3"/>
    <n v="102000"/>
    <n v="3"/>
    <n v="2022"/>
    <s v="Q1"/>
    <s v="Profit"/>
    <s v="Top Seller"/>
    <s v="Pending"/>
  </r>
  <r>
    <s v="TI109"/>
    <d v="2023-06-27T00:00:00"/>
    <s v="West"/>
    <s v="Sanket Jadhav"/>
    <s v="Vegetables"/>
    <s v="Snacks  "/>
    <n v="5"/>
    <n v="35000"/>
    <n v="52000"/>
    <n v="175000"/>
    <n v="260000"/>
    <n v="6"/>
    <n v="85000"/>
    <n v="6"/>
    <n v="2023"/>
    <s v="Q2"/>
    <s v="Profit"/>
    <s v="Normal"/>
    <s v="Pending"/>
  </r>
  <r>
    <s v="TI110"/>
    <d v="2023-11-06T00:00:00"/>
    <s v="North"/>
    <s v="Sundar Ingole"/>
    <s v="Biscuits"/>
    <s v="Beverages  "/>
    <n v="2"/>
    <n v="1500"/>
    <n v="3000"/>
    <n v="3000"/>
    <n v="6000"/>
    <n v="11"/>
    <n v="3000"/>
    <n v="11"/>
    <n v="2023"/>
    <s v="Q4"/>
    <s v="Profit"/>
    <s v="Top Seller"/>
    <s v="Cancelled"/>
  </r>
  <r>
    <s v="TI111"/>
    <d v="2023-01-11T00:00:00"/>
    <s v="East"/>
    <s v="Pradip Ingle"/>
    <s v="Coffee"/>
    <s v="Produce  "/>
    <n v="7"/>
    <n v="35000"/>
    <n v="52000"/>
    <n v="245000"/>
    <n v="364000"/>
    <n v="1"/>
    <n v="119000"/>
    <n v="1"/>
    <n v="2023"/>
    <s v="Q1"/>
    <s v="Profit"/>
    <s v="Top Seller"/>
    <s v="Pending"/>
  </r>
  <r>
    <s v="TI112"/>
    <d v="2020-09-25T00:00:00"/>
    <s v="North"/>
    <s v="Kartik Tandle"/>
    <s v="Fruits"/>
    <s v="Staples  "/>
    <n v="9"/>
    <n v="6000"/>
    <n v="10000"/>
    <n v="54000"/>
    <n v="90000"/>
    <n v="9"/>
    <n v="36000"/>
    <n v="9"/>
    <n v="2020"/>
    <s v="Q3"/>
    <s v="Profit"/>
    <s v="Top Seller"/>
    <s v="Pending"/>
  </r>
  <r>
    <s v="TI113"/>
    <d v="2022-05-08T00:00:00"/>
    <s v="South"/>
    <s v="Sneha Nirfhal"/>
    <s v="Salt"/>
    <s v="HouseUse  "/>
    <n v="7"/>
    <n v="12000"/>
    <n v="18000"/>
    <n v="84000"/>
    <n v="126000"/>
    <n v="5"/>
    <n v="42000"/>
    <n v="5"/>
    <n v="2022"/>
    <s v="Q2"/>
    <s v="Profit"/>
    <s v="Top Seller"/>
    <s v="Pending"/>
  </r>
  <r>
    <s v="TI114"/>
    <d v="2024-07-23T00:00:00"/>
    <s v="West"/>
    <s v="Rutuja Pawar"/>
    <s v="Detergent"/>
    <s v="Beverages  "/>
    <n v="3"/>
    <n v="35000"/>
    <n v="52000"/>
    <n v="105000"/>
    <n v="156000"/>
    <n v="7"/>
    <n v="51000"/>
    <n v="7"/>
    <n v="2024"/>
    <s v="Q3"/>
    <s v="Profit"/>
    <s v="Normal"/>
    <s v="Pending"/>
  </r>
  <r>
    <s v="TI115"/>
    <d v="2023-08-12T00:00:00"/>
    <s v="West"/>
    <s v="Sakshi Jagtap"/>
    <s v="Tea"/>
    <s v="Beverages  "/>
    <n v="3"/>
    <n v="1500"/>
    <n v="3000"/>
    <n v="4500"/>
    <n v="9000"/>
    <n v="8"/>
    <n v="4500"/>
    <n v="8"/>
    <n v="2023"/>
    <s v="Q3"/>
    <s v="Profit"/>
    <s v="Top Seller"/>
    <s v="Pending"/>
  </r>
  <r>
    <s v="TI116"/>
    <d v="2024-01-10T00:00:00"/>
    <s v="West"/>
    <s v="Saloni Rahikar"/>
    <s v="Coffee"/>
    <s v="Snacks  "/>
    <n v="9"/>
    <n v="20000"/>
    <n v="30000"/>
    <n v="180000"/>
    <n v="270000"/>
    <n v="1"/>
    <n v="90000"/>
    <n v="1"/>
    <n v="2024"/>
    <s v="Q1"/>
    <s v="Profit"/>
    <s v="Top Seller"/>
    <s v="Pending"/>
  </r>
  <r>
    <s v="TI117"/>
    <d v="2024-07-30T00:00:00"/>
    <s v="West"/>
    <s v="Amruta Mane"/>
    <s v="Biscuits"/>
    <s v="Personal Care "/>
    <n v="7"/>
    <n v="20000"/>
    <n v="30000"/>
    <n v="140000"/>
    <n v="210000"/>
    <n v="7"/>
    <n v="70000"/>
    <n v="7"/>
    <n v="2024"/>
    <s v="Q3"/>
    <s v="Profit"/>
    <s v="Normal"/>
    <s v="Pending"/>
  </r>
  <r>
    <s v="TI118"/>
    <d v="2021-01-09T00:00:00"/>
    <s v="South"/>
    <s v="Mona Yede"/>
    <s v="Toothpaste"/>
    <s v="oil Edible Oils"/>
    <n v="7"/>
    <n v="1500"/>
    <n v="3000"/>
    <n v="10500"/>
    <n v="21000"/>
    <n v="1"/>
    <n v="10500"/>
    <n v="1"/>
    <n v="2021"/>
    <s v="Q1"/>
    <s v="Profit"/>
    <s v="Top Seller"/>
    <s v="Pending"/>
  </r>
  <r>
    <s v="TI119"/>
    <d v="2025-08-23T00:00:00"/>
    <s v="North"/>
    <s v="Priynka Gaikwad"/>
    <s v="Cooking"/>
    <s v="Staples  "/>
    <n v="5"/>
    <n v="20000"/>
    <n v="30000"/>
    <n v="100000"/>
    <n v="150000"/>
    <n v="8"/>
    <n v="50000"/>
    <n v="8"/>
    <n v="2025"/>
    <s v="Q3"/>
    <s v="Profit"/>
    <s v="Normal"/>
    <s v="Pending"/>
  </r>
  <r>
    <s v="TI120"/>
    <d v="2022-10-21T00:00:00"/>
    <s v="East"/>
    <s v="Sahil Bhole"/>
    <s v="Sugar"/>
    <s v="Personal Care "/>
    <n v="1"/>
    <n v="12000"/>
    <n v="18000"/>
    <n v="12000"/>
    <n v="18000"/>
    <n v="10"/>
    <n v="6000"/>
    <n v="10"/>
    <n v="2022"/>
    <s v="Q4"/>
    <s v="Profit"/>
    <s v="Normal"/>
    <s v="Cancelled"/>
  </r>
  <r>
    <s v="TI121"/>
    <d v="2024-06-01T00:00:00"/>
    <s v="West"/>
    <s v="Dinesh Ghule"/>
    <s v="Soap"/>
    <s v="Dairy  "/>
    <n v="1"/>
    <n v="1500"/>
    <n v="3000"/>
    <n v="1500"/>
    <n v="3000"/>
    <n v="6"/>
    <n v="1500"/>
    <n v="6"/>
    <n v="2024"/>
    <s v="Q2"/>
    <s v="Profit"/>
    <s v="Normal"/>
    <s v="Cancelled"/>
  </r>
  <r>
    <s v="TI122"/>
    <d v="2021-04-08T00:00:00"/>
    <s v="North"/>
    <s v="Ruchita Fartade"/>
    <s v="Cheese"/>
    <s v="(dal) Pulses "/>
    <n v="9"/>
    <n v="1500"/>
    <n v="3000"/>
    <n v="13500"/>
    <n v="27000"/>
    <n v="4"/>
    <n v="13500"/>
    <n v="4"/>
    <n v="2021"/>
    <s v="Q2"/>
    <s v="Profit"/>
    <s v="Top Seller"/>
    <s v="Pending"/>
  </r>
  <r>
    <s v="TI123"/>
    <d v="2025-05-20T00:00:00"/>
    <s v="South"/>
    <s v="Asha Dhokar"/>
    <s v="Lentils"/>
    <s v="Produce  "/>
    <n v="2"/>
    <n v="20000"/>
    <n v="30000"/>
    <n v="40000"/>
    <n v="60000"/>
    <n v="5"/>
    <n v="20000"/>
    <n v="5"/>
    <n v="2025"/>
    <s v="Q2"/>
    <s v="Profit"/>
    <s v="Top Seller"/>
    <s v="Cancelled"/>
  </r>
  <r>
    <s v="TI124"/>
    <d v="2025-09-03T00:00:00"/>
    <s v="East"/>
    <s v="Vaibhav Tayde"/>
    <s v="Vegetables"/>
    <s v="Beverages  "/>
    <n v="10"/>
    <n v="20000"/>
    <n v="30000"/>
    <n v="200000"/>
    <n v="300000"/>
    <n v="9"/>
    <n v="100000"/>
    <n v="9"/>
    <n v="2025"/>
    <s v="Q3"/>
    <s v="Profit"/>
    <s v="Top Seller"/>
    <s v="Completed"/>
  </r>
  <r>
    <s v="TI125"/>
    <d v="2021-12-17T00:00:00"/>
    <s v="West"/>
    <s v="Rohan Sawant"/>
    <s v="Coffee"/>
    <s v="Produce  "/>
    <n v="7"/>
    <n v="12000"/>
    <n v="18000"/>
    <n v="84000"/>
    <n v="126000"/>
    <n v="12"/>
    <n v="42000"/>
    <n v="12"/>
    <n v="2021"/>
    <s v="Q4"/>
    <s v="Profit"/>
    <s v="Normal"/>
    <s v="Pending"/>
  </r>
  <r>
    <s v="TI126"/>
    <d v="2023-06-24T00:00:00"/>
    <s v="South"/>
    <s v="Karan Puri"/>
    <s v="Fruits"/>
    <s v="oil Edible Oils"/>
    <n v="2"/>
    <n v="6000"/>
    <n v="10000"/>
    <n v="12000"/>
    <n v="20000"/>
    <n v="6"/>
    <n v="8000"/>
    <n v="6"/>
    <n v="2023"/>
    <s v="Q2"/>
    <s v="Profit"/>
    <s v="Normal"/>
    <s v="Cancelled"/>
  </r>
  <r>
    <s v="TI127"/>
    <d v="2020-06-16T00:00:00"/>
    <s v="North"/>
    <s v="Pradip Kinkar"/>
    <s v="Cooking"/>
    <s v="Grains  "/>
    <n v="1"/>
    <n v="6000"/>
    <n v="10000"/>
    <n v="6000"/>
    <n v="10000"/>
    <n v="6"/>
    <n v="4000"/>
    <n v="6"/>
    <n v="2020"/>
    <s v="Q2"/>
    <s v="Profit"/>
    <s v="Normal"/>
    <s v="Cancelled"/>
  </r>
  <r>
    <s v="TI128"/>
    <d v="2023-10-03T00:00:00"/>
    <s v="North"/>
    <s v="Ganesh Gaikwad"/>
    <s v="Rice"/>
    <s v="HouseUse  "/>
    <n v="2"/>
    <n v="12000"/>
    <n v="18000"/>
    <n v="24000"/>
    <n v="36000"/>
    <n v="10"/>
    <n v="12000"/>
    <n v="10"/>
    <n v="2023"/>
    <s v="Q4"/>
    <s v="Profit"/>
    <s v="Top Seller"/>
    <s v="Cancelled"/>
  </r>
  <r>
    <s v="TI129"/>
    <d v="2025-08-10T00:00:00"/>
    <s v="East"/>
    <s v="Maroti Jagtap"/>
    <s v="Detergent"/>
    <s v="Personal Care "/>
    <n v="9"/>
    <n v="6000"/>
    <n v="10000"/>
    <n v="54000"/>
    <n v="90000"/>
    <n v="8"/>
    <n v="36000"/>
    <n v="8"/>
    <n v="2025"/>
    <s v="Q3"/>
    <s v="Profit"/>
    <s v="Top Seller"/>
    <s v="Pending"/>
  </r>
  <r>
    <s v="TI130"/>
    <d v="2022-02-05T00:00:00"/>
    <s v="North"/>
    <s v="Ruchita Tandle"/>
    <s v="Toothpaste"/>
    <s v="Dairy  "/>
    <n v="4"/>
    <n v="35000"/>
    <n v="52000"/>
    <n v="140000"/>
    <n v="208000"/>
    <n v="2"/>
    <n v="68000"/>
    <n v="2"/>
    <n v="2022"/>
    <s v="Q1"/>
    <s v="Profit"/>
    <s v="Top Seller"/>
    <s v="Pending"/>
  </r>
  <r>
    <s v="TI131"/>
    <d v="2024-12-08T00:00:00"/>
    <s v="East"/>
    <s v="Rutuja Bhise"/>
    <s v="Cheese"/>
    <s v="Personal Care "/>
    <n v="10"/>
    <n v="20000"/>
    <n v="30000"/>
    <n v="200000"/>
    <n v="300000"/>
    <n v="12"/>
    <n v="100000"/>
    <n v="12"/>
    <n v="2024"/>
    <s v="Q4"/>
    <s v="Profit"/>
    <s v="Normal"/>
    <s v="Completed"/>
  </r>
  <r>
    <s v="TI132"/>
    <d v="2025-02-20T00:00:00"/>
    <s v="West"/>
    <s v="Ruchita Tayde"/>
    <s v="Toothpaste"/>
    <s v="Produce  "/>
    <n v="8"/>
    <n v="1500"/>
    <n v="3000"/>
    <n v="12000"/>
    <n v="24000"/>
    <n v="2"/>
    <n v="12000"/>
    <n v="2"/>
    <n v="2025"/>
    <s v="Q1"/>
    <s v="Profit"/>
    <s v="Top Seller"/>
    <s v="Pending"/>
  </r>
  <r>
    <s v="TI133"/>
    <d v="2023-02-24T00:00:00"/>
    <s v="South"/>
    <s v="Mona Mane"/>
    <s v="Vegetables"/>
    <s v="Grains  "/>
    <n v="5"/>
    <n v="12000"/>
    <n v="18000"/>
    <n v="60000"/>
    <n v="90000"/>
    <n v="2"/>
    <n v="30000"/>
    <n v="2"/>
    <n v="2023"/>
    <s v="Q1"/>
    <s v="Profit"/>
    <s v="Top Seller"/>
    <s v="Pending"/>
  </r>
  <r>
    <s v="TI134"/>
    <d v="2021-09-12T00:00:00"/>
    <s v="West"/>
    <s v="Dinesh Yede"/>
    <s v="Rice"/>
    <s v="Dairy  "/>
    <n v="4"/>
    <n v="12000"/>
    <n v="18000"/>
    <n v="48000"/>
    <n v="72000"/>
    <n v="9"/>
    <n v="24000"/>
    <n v="9"/>
    <n v="2021"/>
    <s v="Q3"/>
    <s v="Profit"/>
    <s v="Normal"/>
    <s v="Pending"/>
  </r>
  <r>
    <s v="TI135"/>
    <d v="2022-08-19T00:00:00"/>
    <s v="South"/>
    <s v="Priynka Rahikar"/>
    <s v="Milk"/>
    <s v="Beverages  "/>
    <n v="4"/>
    <n v="6000"/>
    <n v="10000"/>
    <n v="24000"/>
    <n v="40000"/>
    <n v="8"/>
    <n v="16000"/>
    <n v="8"/>
    <n v="2022"/>
    <s v="Q3"/>
    <s v="Profit"/>
    <s v="Top Seller"/>
    <s v="Pending"/>
  </r>
  <r>
    <s v="TI136"/>
    <d v="2025-12-22T00:00:00"/>
    <s v="West"/>
    <s v="Dinesh Tayde"/>
    <s v="Tea"/>
    <s v="Beverages  "/>
    <n v="3"/>
    <n v="35000"/>
    <n v="52000"/>
    <n v="105000"/>
    <n v="156000"/>
    <n v="12"/>
    <n v="51000"/>
    <n v="12"/>
    <n v="2025"/>
    <s v="Q4"/>
    <s v="Profit"/>
    <s v="Normal"/>
    <s v="Pending"/>
  </r>
  <r>
    <s v="TI137"/>
    <d v="2023-03-11T00:00:00"/>
    <s v="North"/>
    <s v="Sakshi Bhole"/>
    <s v="Tea"/>
    <s v="Produce  "/>
    <n v="3"/>
    <n v="1500"/>
    <n v="3000"/>
    <n v="4500"/>
    <n v="9000"/>
    <n v="3"/>
    <n v="4500"/>
    <n v="3"/>
    <n v="2023"/>
    <s v="Q1"/>
    <s v="Profit"/>
    <s v="Normal"/>
    <s v="Pending"/>
  </r>
  <r>
    <s v="TI138"/>
    <d v="2025-01-16T00:00:00"/>
    <s v="South"/>
    <s v="Mona Dhokar"/>
    <s v="Fruits"/>
    <s v="Personal Care "/>
    <n v="10"/>
    <n v="1500"/>
    <n v="3000"/>
    <n v="15000"/>
    <n v="30000"/>
    <n v="1"/>
    <n v="15000"/>
    <n v="1"/>
    <n v="2025"/>
    <s v="Q1"/>
    <s v="Profit"/>
    <s v="Top Seller"/>
    <s v="Completed"/>
  </r>
  <r>
    <s v="TI139"/>
    <d v="2022-05-11T00:00:00"/>
    <s v="West"/>
    <s v="Sakshi Rahikar"/>
    <s v="Toothpaste"/>
    <s v="Dairy  "/>
    <n v="5"/>
    <n v="35000"/>
    <n v="52000"/>
    <n v="175000"/>
    <n v="260000"/>
    <n v="5"/>
    <n v="85000"/>
    <n v="5"/>
    <n v="2022"/>
    <s v="Q2"/>
    <s v="Profit"/>
    <s v="Normal"/>
    <s v="Pending"/>
  </r>
  <r>
    <s v="TI140"/>
    <d v="2023-11-10T00:00:00"/>
    <s v="West"/>
    <s v="Kiran Bhise"/>
    <s v="Butter"/>
    <s v="Dairy  "/>
    <n v="5"/>
    <n v="1500"/>
    <n v="3000"/>
    <n v="7500"/>
    <n v="15000"/>
    <n v="11"/>
    <n v="7500"/>
    <n v="11"/>
    <n v="2023"/>
    <s v="Q4"/>
    <s v="Profit"/>
    <s v="Normal"/>
    <s v="Pending"/>
  </r>
  <r>
    <s v="TI141"/>
    <d v="2022-02-26T00:00:00"/>
    <s v="East"/>
    <s v="Rutuja Ingle"/>
    <s v="Milk"/>
    <s v="Personal Care "/>
    <n v="1"/>
    <n v="20000"/>
    <n v="30000"/>
    <n v="20000"/>
    <n v="30000"/>
    <n v="2"/>
    <n v="10000"/>
    <n v="2"/>
    <n v="2022"/>
    <s v="Q1"/>
    <s v="Profit"/>
    <s v="Top Seller"/>
    <s v="Cancelled"/>
  </r>
  <r>
    <s v="TI142"/>
    <d v="2024-06-04T00:00:00"/>
    <s v="East"/>
    <s v="Vaibhav Yede"/>
    <s v="Shampoo"/>
    <s v="Dairy  "/>
    <n v="9"/>
    <n v="6000"/>
    <n v="10000"/>
    <n v="54000"/>
    <n v="90000"/>
    <n v="6"/>
    <n v="36000"/>
    <n v="6"/>
    <n v="2024"/>
    <s v="Q2"/>
    <s v="Profit"/>
    <s v="Top Seller"/>
    <s v="Pending"/>
  </r>
  <r>
    <s v="TI143"/>
    <d v="2021-03-22T00:00:00"/>
    <s v="South"/>
    <s v="Priynka Puri"/>
    <s v="Butter"/>
    <s v="Staples  "/>
    <n v="8"/>
    <n v="35000"/>
    <n v="52000"/>
    <n v="280000"/>
    <n v="416000"/>
    <n v="3"/>
    <n v="136000"/>
    <n v="3"/>
    <n v="2021"/>
    <s v="Q1"/>
    <s v="Profit"/>
    <s v="Top Seller"/>
    <s v="Pending"/>
  </r>
  <r>
    <s v="TI144"/>
    <d v="2022-10-21T00:00:00"/>
    <s v="West"/>
    <s v="Ruchita Fartade"/>
    <s v="Sugar"/>
    <s v="Personal Care "/>
    <n v="10"/>
    <n v="6000"/>
    <n v="10000"/>
    <n v="60000"/>
    <n v="100000"/>
    <n v="10"/>
    <n v="40000"/>
    <n v="10"/>
    <n v="2022"/>
    <s v="Q4"/>
    <s v="Profit"/>
    <s v="Top Seller"/>
    <s v="Completed"/>
  </r>
  <r>
    <s v="TI145"/>
    <d v="2025-04-25T00:00:00"/>
    <s v="South"/>
    <s v="Raj Kinkar"/>
    <s v="Shampoo"/>
    <s v="Produce  "/>
    <n v="3"/>
    <n v="12000"/>
    <n v="18000"/>
    <n v="36000"/>
    <n v="54000"/>
    <n v="4"/>
    <n v="18000"/>
    <n v="4"/>
    <n v="2025"/>
    <s v="Q2"/>
    <s v="Profit"/>
    <s v="Top Seller"/>
    <s v="Pending"/>
  </r>
  <r>
    <s v="TI146"/>
    <d v="2025-09-22T00:00:00"/>
    <s v="East"/>
    <s v="Ganesh Ghule"/>
    <s v="Fruits"/>
    <s v="Staples  "/>
    <n v="6"/>
    <n v="6000"/>
    <n v="10000"/>
    <n v="36000"/>
    <n v="60000"/>
    <n v="9"/>
    <n v="24000"/>
    <n v="9"/>
    <n v="2025"/>
    <s v="Q3"/>
    <s v="Profit"/>
    <s v="Normal"/>
    <s v="Pending"/>
  </r>
  <r>
    <s v="TI147"/>
    <d v="2021-11-02T00:00:00"/>
    <s v="West"/>
    <s v="Maroti Mali"/>
    <s v="Sugar"/>
    <s v="Produce  "/>
    <n v="8"/>
    <n v="1500"/>
    <n v="3000"/>
    <n v="12000"/>
    <n v="24000"/>
    <n v="11"/>
    <n v="12000"/>
    <n v="11"/>
    <n v="2021"/>
    <s v="Q4"/>
    <s v="Profit"/>
    <s v="Top Seller"/>
    <s v="Pending"/>
  </r>
  <r>
    <s v="TI148"/>
    <d v="2022-02-08T00:00:00"/>
    <s v="East"/>
    <s v="Vaibhav Mane"/>
    <s v="Vegetables"/>
    <s v="Dairy  "/>
    <n v="7"/>
    <n v="12000"/>
    <n v="18000"/>
    <n v="84000"/>
    <n v="126000"/>
    <n v="2"/>
    <n v="42000"/>
    <n v="2"/>
    <n v="2022"/>
    <s v="Q1"/>
    <s v="Profit"/>
    <s v="Top Seller"/>
    <s v="Pending"/>
  </r>
  <r>
    <s v="TI149"/>
    <d v="2023-07-20T00:00:00"/>
    <s v="North"/>
    <s v="Shivanad Sawant"/>
    <s v="Milk"/>
    <s v="Personal Care "/>
    <n v="6"/>
    <n v="6000"/>
    <n v="10000"/>
    <n v="36000"/>
    <n v="60000"/>
    <n v="7"/>
    <n v="24000"/>
    <n v="7"/>
    <n v="2023"/>
    <s v="Q3"/>
    <s v="Profit"/>
    <s v="Normal"/>
    <s v="Pending"/>
  </r>
  <r>
    <s v="TI150"/>
    <d v="2020-06-20T00:00:00"/>
    <s v="North"/>
    <s v="Sakshi Sawant"/>
    <s v="Soap"/>
    <s v="Staples  "/>
    <n v="8"/>
    <n v="1500"/>
    <n v="3000"/>
    <n v="12000"/>
    <n v="24000"/>
    <n v="6"/>
    <n v="12000"/>
    <n v="6"/>
    <n v="2020"/>
    <s v="Q2"/>
    <s v="Profit"/>
    <s v="Top Seller"/>
    <s v="Pending"/>
  </r>
  <r>
    <s v="TI151"/>
    <d v="2020-10-13T00:00:00"/>
    <s v="South"/>
    <s v="Asha Tayde"/>
    <s v="Salt"/>
    <s v="flour Grains "/>
    <n v="4"/>
    <n v="20000"/>
    <n v="30000"/>
    <n v="80000"/>
    <n v="120000"/>
    <n v="10"/>
    <n v="40000"/>
    <n v="10"/>
    <n v="2020"/>
    <s v="Q4"/>
    <s v="Profit"/>
    <s v="Top Seller"/>
    <s v="Pending"/>
  </r>
  <r>
    <s v="TI152"/>
    <d v="2023-07-28T00:00:00"/>
    <s v="South"/>
    <s v="Amruta Dhokar"/>
    <s v="Wheat"/>
    <s v="Personal Care "/>
    <n v="5"/>
    <n v="20000"/>
    <n v="30000"/>
    <n v="100000"/>
    <n v="150000"/>
    <n v="7"/>
    <n v="50000"/>
    <n v="7"/>
    <n v="2023"/>
    <s v="Q3"/>
    <s v="Profit"/>
    <s v="Normal"/>
    <s v="Pending"/>
  </r>
  <r>
    <s v="TI153"/>
    <d v="2023-05-28T00:00:00"/>
    <s v="West"/>
    <s v="Karan Ingole"/>
    <s v="Shampoo"/>
    <s v="Produce  "/>
    <n v="3"/>
    <n v="6000"/>
    <n v="10000"/>
    <n v="18000"/>
    <n v="30000"/>
    <n v="5"/>
    <n v="12000"/>
    <n v="5"/>
    <n v="2023"/>
    <s v="Q2"/>
    <s v="Profit"/>
    <s v="Top Seller"/>
    <s v="Pending"/>
  </r>
  <r>
    <s v="TI154"/>
    <d v="2022-03-15T00:00:00"/>
    <s v="South"/>
    <s v="Pradip Pawar"/>
    <s v="Fruits"/>
    <s v="oil Edible Oils"/>
    <n v="8"/>
    <n v="35000"/>
    <n v="52000"/>
    <n v="280000"/>
    <n v="416000"/>
    <n v="3"/>
    <n v="136000"/>
    <n v="3"/>
    <n v="2022"/>
    <s v="Q1"/>
    <s v="Profit"/>
    <s v="Top Seller"/>
    <s v="Pending"/>
  </r>
  <r>
    <s v="TI155"/>
    <d v="2025-08-31T00:00:00"/>
    <s v="South"/>
    <s v="Dinesh Dhokar"/>
    <s v="Cooking"/>
    <s v="Snacks  "/>
    <n v="6"/>
    <n v="35000"/>
    <n v="52000"/>
    <n v="210000"/>
    <n v="312000"/>
    <n v="8"/>
    <n v="102000"/>
    <n v="8"/>
    <n v="2025"/>
    <s v="Q3"/>
    <s v="Profit"/>
    <s v="Top Seller"/>
    <s v="Pending"/>
  </r>
  <r>
    <s v="TI156"/>
    <d v="2023-10-15T00:00:00"/>
    <s v="East"/>
    <s v="Kondiba Kinkar"/>
    <s v="Biscuits"/>
    <s v="Beverages  "/>
    <n v="4"/>
    <n v="20000"/>
    <n v="30000"/>
    <n v="80000"/>
    <n v="120000"/>
    <n v="10"/>
    <n v="40000"/>
    <n v="10"/>
    <n v="2023"/>
    <s v="Q4"/>
    <s v="Profit"/>
    <s v="Top Seller"/>
    <s v="Pending"/>
  </r>
  <r>
    <s v="TI157"/>
    <d v="2022-10-11T00:00:00"/>
    <s v="South"/>
    <s v="Sachin Yede"/>
    <s v="Tea"/>
    <s v="Personal Care "/>
    <n v="2"/>
    <n v="35000"/>
    <n v="52000"/>
    <n v="70000"/>
    <n v="104000"/>
    <n v="10"/>
    <n v="34000"/>
    <n v="10"/>
    <n v="2022"/>
    <s v="Q4"/>
    <s v="Profit"/>
    <s v="Top Seller"/>
    <s v="Cancelled"/>
  </r>
  <r>
    <s v="TI158"/>
    <d v="2021-12-11T00:00:00"/>
    <s v="North"/>
    <s v="Ruchita Fartade"/>
    <s v="Toothpaste"/>
    <s v="Beverages  "/>
    <n v="10"/>
    <n v="12000"/>
    <n v="18000"/>
    <n v="120000"/>
    <n v="180000"/>
    <n v="12"/>
    <n v="60000"/>
    <n v="12"/>
    <n v="2021"/>
    <s v="Q4"/>
    <s v="Profit"/>
    <s v="Normal"/>
    <s v="Completed"/>
  </r>
  <r>
    <s v="TI159"/>
    <d v="2025-06-01T00:00:00"/>
    <s v="East"/>
    <s v="Shivanad Jagtap"/>
    <s v="Tea"/>
    <s v="Dairy  "/>
    <n v="6"/>
    <n v="1500"/>
    <n v="3000"/>
    <n v="9000"/>
    <n v="18000"/>
    <n v="6"/>
    <n v="9000"/>
    <n v="6"/>
    <n v="2025"/>
    <s v="Q2"/>
    <s v="Profit"/>
    <s v="Top Seller"/>
    <s v="Pending"/>
  </r>
  <r>
    <s v="TI160"/>
    <d v="2021-07-30T00:00:00"/>
    <s v="North"/>
    <s v="Sneha Jagtap"/>
    <s v="Butter"/>
    <s v="Staples  "/>
    <n v="4"/>
    <n v="35000"/>
    <n v="52000"/>
    <n v="140000"/>
    <n v="208000"/>
    <n v="7"/>
    <n v="68000"/>
    <n v="7"/>
    <n v="2021"/>
    <s v="Q3"/>
    <s v="Profit"/>
    <s v="Top Seller"/>
    <s v="Pending"/>
  </r>
  <r>
    <s v="TI161"/>
    <d v="2025-03-05T00:00:00"/>
    <s v="North"/>
    <s v="Sneha Yede"/>
    <s v="Sugar"/>
    <s v="Staples  "/>
    <n v="10"/>
    <n v="20000"/>
    <n v="30000"/>
    <n v="200000"/>
    <n v="300000"/>
    <n v="3"/>
    <n v="100000"/>
    <n v="3"/>
    <n v="2025"/>
    <s v="Q1"/>
    <s v="Profit"/>
    <s v="Top Seller"/>
    <s v="Completed"/>
  </r>
  <r>
    <s v="TI162"/>
    <d v="2021-01-15T00:00:00"/>
    <s v="South"/>
    <s v="Satyam Nirfhal"/>
    <s v="Salt"/>
    <s v="Personal Care "/>
    <n v="10"/>
    <n v="35000"/>
    <n v="52000"/>
    <n v="350000"/>
    <n v="520000"/>
    <n v="1"/>
    <n v="170000"/>
    <n v="1"/>
    <n v="2021"/>
    <s v="Q1"/>
    <s v="Profit"/>
    <s v="Normal"/>
    <s v="Completed"/>
  </r>
  <r>
    <s v="TI163"/>
    <d v="2024-12-04T00:00:00"/>
    <s v="East"/>
    <s v="Sneha Sawant"/>
    <s v="Soap"/>
    <s v="Dairy  "/>
    <n v="1"/>
    <n v="12000"/>
    <n v="18000"/>
    <n v="12000"/>
    <n v="18000"/>
    <n v="12"/>
    <n v="6000"/>
    <n v="12"/>
    <n v="2024"/>
    <s v="Q4"/>
    <s v="Profit"/>
    <s v="Normal"/>
    <s v="Cancelled"/>
  </r>
  <r>
    <s v="TI164"/>
    <d v="2025-04-03T00:00:00"/>
    <s v="South"/>
    <s v="Pradip Pawar"/>
    <s v="Cheese"/>
    <s v="Personal Care "/>
    <n v="5"/>
    <n v="6000"/>
    <n v="10000"/>
    <n v="30000"/>
    <n v="50000"/>
    <n v="4"/>
    <n v="20000"/>
    <n v="4"/>
    <n v="2025"/>
    <s v="Q2"/>
    <s v="Profit"/>
    <s v="Top Seller"/>
    <s v="Pending"/>
  </r>
  <r>
    <s v="TI165"/>
    <d v="2022-12-14T00:00:00"/>
    <s v="North"/>
    <s v="Kartik Jagtap"/>
    <s v="Soap"/>
    <s v="Dairy  "/>
    <n v="3"/>
    <n v="12000"/>
    <n v="18000"/>
    <n v="36000"/>
    <n v="54000"/>
    <n v="12"/>
    <n v="18000"/>
    <n v="12"/>
    <n v="2022"/>
    <s v="Q4"/>
    <s v="Profit"/>
    <s v="Normal"/>
    <s v="Pending"/>
  </r>
  <r>
    <s v="TI166"/>
    <d v="2024-09-28T00:00:00"/>
    <s v="North"/>
    <s v="Shivanad Mane"/>
    <s v="Butter"/>
    <s v="Produce  "/>
    <n v="1"/>
    <n v="1500"/>
    <n v="3000"/>
    <n v="1500"/>
    <n v="3000"/>
    <n v="9"/>
    <n v="1500"/>
    <n v="9"/>
    <n v="2024"/>
    <s v="Q3"/>
    <s v="Profit"/>
    <s v="Top Seller"/>
    <s v="Cancelled"/>
  </r>
  <r>
    <s v="TI167"/>
    <d v="2022-01-29T00:00:00"/>
    <s v="North"/>
    <s v="Sundar Mulgir"/>
    <s v="Eggs"/>
    <s v="Snacks  "/>
    <n v="1"/>
    <n v="35000"/>
    <n v="52000"/>
    <n v="35000"/>
    <n v="52000"/>
    <n v="1"/>
    <n v="17000"/>
    <n v="1"/>
    <n v="2022"/>
    <s v="Q1"/>
    <s v="Profit"/>
    <s v="Top Seller"/>
    <s v="Cancelled"/>
  </r>
  <r>
    <s v="TI168"/>
    <d v="2021-10-22T00:00:00"/>
    <s v="North"/>
    <s v="Amruta Butte"/>
    <s v="Biscuits"/>
    <s v="Beverages  "/>
    <n v="8"/>
    <n v="35000"/>
    <n v="52000"/>
    <n v="280000"/>
    <n v="416000"/>
    <n v="10"/>
    <n v="136000"/>
    <n v="10"/>
    <n v="2021"/>
    <s v="Q4"/>
    <s v="Profit"/>
    <s v="Top Seller"/>
    <s v="Pending"/>
  </r>
  <r>
    <s v="TI169"/>
    <d v="2024-06-15T00:00:00"/>
    <s v="North"/>
    <s v="Karan Bhise"/>
    <s v="Tea"/>
    <s v="Grains  "/>
    <n v="9"/>
    <n v="35000"/>
    <n v="52000"/>
    <n v="315000"/>
    <n v="468000"/>
    <n v="6"/>
    <n v="153000"/>
    <n v="6"/>
    <n v="2024"/>
    <s v="Q2"/>
    <s v="Profit"/>
    <s v="Top Seller"/>
    <s v="Pending"/>
  </r>
  <r>
    <s v="TI170"/>
    <d v="2021-06-07T00:00:00"/>
    <s v="North"/>
    <s v="Sachin Tayde"/>
    <s v="Rice"/>
    <s v="flour Grains "/>
    <n v="4"/>
    <n v="35000"/>
    <n v="52000"/>
    <n v="140000"/>
    <n v="208000"/>
    <n v="6"/>
    <n v="68000"/>
    <n v="6"/>
    <n v="2021"/>
    <s v="Q2"/>
    <s v="Profit"/>
    <s v="Top Seller"/>
    <s v="Pending"/>
  </r>
  <r>
    <s v="TI171"/>
    <d v="2025-06-15T00:00:00"/>
    <s v="North"/>
    <s v="Vaibhav Ingole"/>
    <s v="Wheat"/>
    <s v="Snacks  "/>
    <n v="9"/>
    <n v="35000"/>
    <n v="52000"/>
    <n v="315000"/>
    <n v="468000"/>
    <n v="6"/>
    <n v="153000"/>
    <n v="6"/>
    <n v="2025"/>
    <s v="Q2"/>
    <s v="Profit"/>
    <s v="Normal"/>
    <s v="Pending"/>
  </r>
  <r>
    <s v="TI172"/>
    <d v="2024-02-12T00:00:00"/>
    <s v="South"/>
    <s v="Priynka Ingole"/>
    <s v="Biscuits"/>
    <s v="Dairy  "/>
    <n v="1"/>
    <n v="1500"/>
    <n v="3000"/>
    <n v="1500"/>
    <n v="3000"/>
    <n v="2"/>
    <n v="1500"/>
    <n v="2"/>
    <n v="2024"/>
    <s v="Q1"/>
    <s v="Profit"/>
    <s v="Top Seller"/>
    <s v="Cancelled"/>
  </r>
  <r>
    <s v="TI173"/>
    <d v="2021-04-11T00:00:00"/>
    <s v="East"/>
    <s v="Sneha Butte"/>
    <s v="Milk"/>
    <s v="Grains  "/>
    <n v="3"/>
    <n v="20000"/>
    <n v="30000"/>
    <n v="60000"/>
    <n v="90000"/>
    <n v="4"/>
    <n v="30000"/>
    <n v="4"/>
    <n v="2021"/>
    <s v="Q2"/>
    <s v="Profit"/>
    <s v="Top Seller"/>
    <s v="Pending"/>
  </r>
  <r>
    <s v="TI174"/>
    <d v="2025-04-14T00:00:00"/>
    <s v="East"/>
    <s v="Asha Dange"/>
    <s v="Rice"/>
    <s v="Produce  "/>
    <n v="2"/>
    <n v="35000"/>
    <n v="52000"/>
    <n v="70000"/>
    <n v="104000"/>
    <n v="4"/>
    <n v="34000"/>
    <n v="4"/>
    <n v="2025"/>
    <s v="Q2"/>
    <s v="Profit"/>
    <s v="Top Seller"/>
    <s v="Cancelled"/>
  </r>
  <r>
    <s v="TI175"/>
    <d v="2023-03-22T00:00:00"/>
    <s v="North"/>
    <s v="Mona Dange"/>
    <s v="Vegetables"/>
    <s v="Personal Care "/>
    <n v="4"/>
    <n v="20000"/>
    <n v="30000"/>
    <n v="80000"/>
    <n v="120000"/>
    <n v="3"/>
    <n v="40000"/>
    <n v="3"/>
    <n v="2023"/>
    <s v="Q1"/>
    <s v="Profit"/>
    <s v="Top Seller"/>
    <s v="Pending"/>
  </r>
  <r>
    <s v="TI176"/>
    <d v="2023-11-21T00:00:00"/>
    <s v="East"/>
    <s v="Shivanad Fartade"/>
    <s v="Shampoo"/>
    <s v="Produce  "/>
    <n v="1"/>
    <n v="35000"/>
    <n v="52000"/>
    <n v="35000"/>
    <n v="52000"/>
    <n v="11"/>
    <n v="17000"/>
    <n v="11"/>
    <n v="2023"/>
    <s v="Q4"/>
    <s v="Profit"/>
    <s v="Top Seller"/>
    <s v="Cancelled"/>
  </r>
  <r>
    <s v="TI177"/>
    <d v="2024-10-31T00:00:00"/>
    <s v="North"/>
    <s v="Kondiba Fartade"/>
    <s v="Vegetables"/>
    <s v="Dairy  "/>
    <n v="5"/>
    <n v="12000"/>
    <n v="18000"/>
    <n v="60000"/>
    <n v="90000"/>
    <n v="10"/>
    <n v="30000"/>
    <n v="10"/>
    <n v="2024"/>
    <s v="Q4"/>
    <s v="Profit"/>
    <s v="Top Seller"/>
    <s v="Pending"/>
  </r>
  <r>
    <s v="TI178"/>
    <d v="2024-11-30T00:00:00"/>
    <s v="North"/>
    <s v="Satyam Dhokar"/>
    <s v="Milk"/>
    <s v="Beverages  "/>
    <n v="9"/>
    <n v="20000"/>
    <n v="30000"/>
    <n v="180000"/>
    <n v="270000"/>
    <n v="11"/>
    <n v="90000"/>
    <n v="11"/>
    <n v="2024"/>
    <s v="Q4"/>
    <s v="Profit"/>
    <s v="Normal"/>
    <s v="Pending"/>
  </r>
  <r>
    <s v="TI179"/>
    <d v="2023-01-29T00:00:00"/>
    <s v="North"/>
    <s v="Mona Rahikar"/>
    <s v="Tea"/>
    <s v="(dal) Pulses "/>
    <n v="7"/>
    <n v="1500"/>
    <n v="3000"/>
    <n v="10500"/>
    <n v="21000"/>
    <n v="1"/>
    <n v="10500"/>
    <n v="1"/>
    <n v="2023"/>
    <s v="Q1"/>
    <s v="Profit"/>
    <s v="Top Seller"/>
    <s v="Pending"/>
  </r>
  <r>
    <s v="TI180"/>
    <d v="2023-05-01T00:00:00"/>
    <s v="West"/>
    <s v="Mona Kale"/>
    <s v="Lentils"/>
    <s v="oil Edible Oils"/>
    <n v="8"/>
    <n v="6000"/>
    <n v="10000"/>
    <n v="48000"/>
    <n v="80000"/>
    <n v="5"/>
    <n v="32000"/>
    <n v="5"/>
    <n v="2023"/>
    <s v="Q2"/>
    <s v="Profit"/>
    <s v="Normal"/>
    <s v="Pending"/>
  </r>
  <r>
    <s v="TI181"/>
    <d v="2025-01-29T00:00:00"/>
    <s v="South"/>
    <s v="Sahil Mali"/>
    <s v="Cooking"/>
    <s v="Produce  "/>
    <n v="5"/>
    <n v="1500"/>
    <n v="3000"/>
    <n v="7500"/>
    <n v="15000"/>
    <n v="1"/>
    <n v="7500"/>
    <n v="1"/>
    <n v="2025"/>
    <s v="Q1"/>
    <s v="Profit"/>
    <s v="Top Seller"/>
    <s v="Pending"/>
  </r>
  <r>
    <s v="TI182"/>
    <d v="2024-01-17T00:00:00"/>
    <s v="East"/>
    <s v="Saloni Thorat"/>
    <s v="Eggs"/>
    <s v="Snacks  "/>
    <n v="7"/>
    <n v="35000"/>
    <n v="52000"/>
    <n v="245000"/>
    <n v="364000"/>
    <n v="1"/>
    <n v="119000"/>
    <n v="1"/>
    <n v="2024"/>
    <s v="Q1"/>
    <s v="Profit"/>
    <s v="Top Seller"/>
    <s v="Pending"/>
  </r>
  <r>
    <s v="TI183"/>
    <d v="2022-10-29T00:00:00"/>
    <s v="East"/>
    <s v="Kondiba Rahikar"/>
    <s v="Biscuits"/>
    <s v="(dal) Pulses "/>
    <n v="6"/>
    <n v="12000"/>
    <n v="18000"/>
    <n v="72000"/>
    <n v="108000"/>
    <n v="10"/>
    <n v="36000"/>
    <n v="10"/>
    <n v="2022"/>
    <s v="Q4"/>
    <s v="Profit"/>
    <s v="Top Seller"/>
    <s v="Pending"/>
  </r>
  <r>
    <s v="TI184"/>
    <d v="2023-07-30T00:00:00"/>
    <s v="North"/>
    <s v="Ganesh Fartade"/>
    <s v="Lentils"/>
    <s v="Staples  "/>
    <n v="6"/>
    <n v="6000"/>
    <n v="10000"/>
    <n v="36000"/>
    <n v="60000"/>
    <n v="7"/>
    <n v="24000"/>
    <n v="7"/>
    <n v="2023"/>
    <s v="Q3"/>
    <s v="Profit"/>
    <s v="Normal"/>
    <s v="Pending"/>
  </r>
  <r>
    <s v="TI185"/>
    <d v="2023-11-29T00:00:00"/>
    <s v="West"/>
    <s v="Kondiba Pawar"/>
    <s v="Sugar"/>
    <s v="Bekery  "/>
    <n v="1"/>
    <n v="1500"/>
    <n v="3000"/>
    <n v="1500"/>
    <n v="3000"/>
    <n v="11"/>
    <n v="1500"/>
    <n v="11"/>
    <n v="2023"/>
    <s v="Q4"/>
    <s v="Profit"/>
    <s v="Top Seller"/>
    <s v="Cancelled"/>
  </r>
  <r>
    <s v="TI186"/>
    <d v="2021-06-03T00:00:00"/>
    <s v="West"/>
    <s v="Mona Dhokar"/>
    <s v="Bread"/>
    <s v="Personal Care "/>
    <n v="3"/>
    <n v="35000"/>
    <n v="52000"/>
    <n v="105000"/>
    <n v="156000"/>
    <n v="6"/>
    <n v="51000"/>
    <n v="6"/>
    <n v="2021"/>
    <s v="Q2"/>
    <s v="Profit"/>
    <s v="Top Seller"/>
    <s v="Pending"/>
  </r>
  <r>
    <s v="TI187"/>
    <d v="2025-12-15T00:00:00"/>
    <s v="West"/>
    <s v="Rutuja Mane"/>
    <s v="Soap"/>
    <s v="(dal) Pulses "/>
    <n v="7"/>
    <n v="20000"/>
    <n v="30000"/>
    <n v="140000"/>
    <n v="210000"/>
    <n v="12"/>
    <n v="70000"/>
    <n v="12"/>
    <n v="2025"/>
    <s v="Q4"/>
    <s v="Profit"/>
    <s v="Normal"/>
    <s v="Pending"/>
  </r>
  <r>
    <s v="TI188"/>
    <d v="2020-12-28T00:00:00"/>
    <s v="East"/>
    <s v="Dinesh Dhokar"/>
    <s v="Lentils"/>
    <s v="Dairy  "/>
    <n v="5"/>
    <n v="1500"/>
    <n v="3000"/>
    <n v="7500"/>
    <n v="15000"/>
    <n v="12"/>
    <n v="7500"/>
    <n v="12"/>
    <n v="2020"/>
    <s v="Q4"/>
    <s v="Profit"/>
    <s v="Top Seller"/>
    <s v="Pending"/>
  </r>
  <r>
    <s v="TI189"/>
    <d v="2022-06-02T00:00:00"/>
    <s v="East"/>
    <s v="Ganesh Gaikwad"/>
    <s v="Butter"/>
    <s v="(dal) Pulses "/>
    <n v="8"/>
    <n v="6000"/>
    <n v="10000"/>
    <n v="48000"/>
    <n v="80000"/>
    <n v="6"/>
    <n v="32000"/>
    <n v="6"/>
    <n v="2022"/>
    <s v="Q2"/>
    <s v="Profit"/>
    <s v="Normal"/>
    <s v="Pending"/>
  </r>
  <r>
    <s v="TI190"/>
    <d v="2021-03-10T00:00:00"/>
    <s v="West"/>
    <s v="Vaibhav Fartade"/>
    <s v="Lentils"/>
    <s v="Dairy  "/>
    <n v="4"/>
    <n v="6000"/>
    <n v="10000"/>
    <n v="24000"/>
    <n v="40000"/>
    <n v="3"/>
    <n v="16000"/>
    <n v="3"/>
    <n v="2021"/>
    <s v="Q1"/>
    <s v="Profit"/>
    <s v="Normal"/>
    <s v="Pending"/>
  </r>
  <r>
    <s v="TI191"/>
    <d v="2022-04-21T00:00:00"/>
    <s v="East"/>
    <s v="Sakshi Butte"/>
    <s v="Milk"/>
    <s v="Bekery  "/>
    <n v="8"/>
    <n v="1500"/>
    <n v="3000"/>
    <n v="12000"/>
    <n v="24000"/>
    <n v="4"/>
    <n v="12000"/>
    <n v="4"/>
    <n v="2022"/>
    <s v="Q2"/>
    <s v="Profit"/>
    <s v="Top Seller"/>
    <s v="Pending"/>
  </r>
  <r>
    <s v="TI192"/>
    <d v="2022-09-05T00:00:00"/>
    <s v="East"/>
    <s v="Shivanad Ghule"/>
    <s v="Bread"/>
    <s v="Grains  "/>
    <n v="8"/>
    <n v="20000"/>
    <n v="30000"/>
    <n v="160000"/>
    <n v="240000"/>
    <n v="9"/>
    <n v="80000"/>
    <n v="9"/>
    <n v="2022"/>
    <s v="Q3"/>
    <s v="Profit"/>
    <s v="Top Seller"/>
    <s v="Pending"/>
  </r>
  <r>
    <s v="TI193"/>
    <d v="2021-07-30T00:00:00"/>
    <s v="East"/>
    <s v="Sahil Rahikar"/>
    <s v="Rice"/>
    <s v="Staples  "/>
    <n v="4"/>
    <n v="35000"/>
    <n v="52000"/>
    <n v="140000"/>
    <n v="208000"/>
    <n v="7"/>
    <n v="68000"/>
    <n v="7"/>
    <n v="2021"/>
    <s v="Q3"/>
    <s v="Profit"/>
    <s v="Top Seller"/>
    <s v="Pending"/>
  </r>
  <r>
    <s v="TI194"/>
    <d v="2023-06-21T00:00:00"/>
    <s v="North"/>
    <s v="Raj Ingole"/>
    <s v="Salt"/>
    <s v="Personal Care "/>
    <n v="4"/>
    <n v="20000"/>
    <n v="30000"/>
    <n v="80000"/>
    <n v="120000"/>
    <n v="6"/>
    <n v="40000"/>
    <n v="6"/>
    <n v="2023"/>
    <s v="Q2"/>
    <s v="Profit"/>
    <s v="Top Seller"/>
    <s v="Pending"/>
  </r>
  <r>
    <s v="TI195"/>
    <d v="2023-03-07T00:00:00"/>
    <s v="East"/>
    <s v="Sneha Mane"/>
    <s v="Soap"/>
    <s v="Snacks  "/>
    <n v="5"/>
    <n v="12000"/>
    <n v="18000"/>
    <n v="60000"/>
    <n v="90000"/>
    <n v="3"/>
    <n v="30000"/>
    <n v="3"/>
    <n v="2023"/>
    <s v="Q1"/>
    <s v="Profit"/>
    <s v="Top Seller"/>
    <s v="Pending"/>
  </r>
  <r>
    <s v="TI196"/>
    <d v="2020-01-14T00:00:00"/>
    <s v="North"/>
    <s v="Sakshi Rahikar"/>
    <s v="Biscuits"/>
    <s v="Dairy  "/>
    <n v="9"/>
    <n v="20000"/>
    <n v="30000"/>
    <n v="180000"/>
    <n v="270000"/>
    <n v="1"/>
    <n v="90000"/>
    <n v="1"/>
    <n v="2020"/>
    <s v="Q1"/>
    <s v="Profit"/>
    <s v="Top Seller"/>
    <s v="Pending"/>
  </r>
  <r>
    <s v="TI197"/>
    <d v="2025-08-26T00:00:00"/>
    <s v="North"/>
    <s v="Ganesh Ghule"/>
    <s v="Cheese"/>
    <s v="Bekery  "/>
    <n v="2"/>
    <n v="20000"/>
    <n v="30000"/>
    <n v="40000"/>
    <n v="60000"/>
    <n v="8"/>
    <n v="20000"/>
    <n v="8"/>
    <n v="2025"/>
    <s v="Q3"/>
    <s v="Profit"/>
    <s v="Normal"/>
    <s v="Cancelled"/>
  </r>
  <r>
    <s v="TI198"/>
    <d v="2021-05-26T00:00:00"/>
    <s v="South"/>
    <s v="Sachin Tandle"/>
    <s v="Bread"/>
    <s v="flour Grains "/>
    <n v="4"/>
    <n v="6000"/>
    <n v="10000"/>
    <n v="24000"/>
    <n v="40000"/>
    <n v="5"/>
    <n v="16000"/>
    <n v="5"/>
    <n v="2021"/>
    <s v="Q2"/>
    <s v="Profit"/>
    <s v="Normal"/>
    <s v="Pending"/>
  </r>
  <r>
    <s v="TI199"/>
    <d v="2023-11-28T00:00:00"/>
    <s v="South"/>
    <s v="Dinesh Kinkar"/>
    <s v="Wheat"/>
    <s v="(dal) Pulses "/>
    <n v="4"/>
    <n v="6000"/>
    <n v="10000"/>
    <n v="24000"/>
    <n v="40000"/>
    <n v="11"/>
    <n v="16000"/>
    <n v="11"/>
    <n v="2023"/>
    <s v="Q4"/>
    <s v="Profit"/>
    <s v="Top Seller"/>
    <s v="Pending"/>
  </r>
  <r>
    <s v="TI200"/>
    <d v="2024-04-14T00:00:00"/>
    <s v="East"/>
    <s v="Pradip Ingle"/>
    <s v="Lentils"/>
    <s v="Personal Care "/>
    <n v="8"/>
    <n v="35000"/>
    <n v="52000"/>
    <n v="280000"/>
    <n v="416000"/>
    <n v="4"/>
    <n v="136000"/>
    <n v="4"/>
    <n v="2024"/>
    <s v="Q2"/>
    <s v="Profit"/>
    <s v="Normal"/>
    <s v="Pending"/>
  </r>
  <r>
    <s v="TI201"/>
    <d v="2023-09-16T00:00:00"/>
    <s v="South"/>
    <s v="Amruta Kale"/>
    <s v="Toothpaste"/>
    <s v="Beverages  "/>
    <n v="2"/>
    <n v="1500"/>
    <n v="3000"/>
    <n v="3000"/>
    <n v="6000"/>
    <n v="9"/>
    <n v="3000"/>
    <n v="9"/>
    <n v="2023"/>
    <s v="Q3"/>
    <s v="Profit"/>
    <s v="Normal"/>
    <s v="Cancelled"/>
  </r>
  <r>
    <s v="TI202"/>
    <d v="2020-02-28T00:00:00"/>
    <s v="East"/>
    <s v="Sundar Bhise"/>
    <s v="Tea"/>
    <s v="Grains  "/>
    <n v="6"/>
    <n v="1500"/>
    <n v="3000"/>
    <n v="9000"/>
    <n v="18000"/>
    <n v="2"/>
    <n v="9000"/>
    <n v="2"/>
    <n v="2020"/>
    <s v="Q1"/>
    <s v="Profit"/>
    <s v="Normal"/>
    <s v="Pending"/>
  </r>
  <r>
    <s v="TI203"/>
    <d v="2022-02-26T00:00:00"/>
    <s v="West"/>
    <s v="Ganesh Butte"/>
    <s v="Rice"/>
    <s v="Staples  "/>
    <n v="3"/>
    <n v="6000"/>
    <n v="10000"/>
    <n v="18000"/>
    <n v="30000"/>
    <n v="2"/>
    <n v="12000"/>
    <n v="2"/>
    <n v="2022"/>
    <s v="Q1"/>
    <s v="Profit"/>
    <s v="Normal"/>
    <s v="Pending"/>
  </r>
  <r>
    <s v="TI204"/>
    <d v="2024-11-02T00:00:00"/>
    <s v="East"/>
    <s v="Priynka Sawant"/>
    <s v="Salt"/>
    <s v="Personal Care "/>
    <n v="2"/>
    <n v="12000"/>
    <n v="18000"/>
    <n v="24000"/>
    <n v="36000"/>
    <n v="11"/>
    <n v="12000"/>
    <n v="11"/>
    <n v="2024"/>
    <s v="Q4"/>
    <s v="Profit"/>
    <s v="Normal"/>
    <s v="Cancelled"/>
  </r>
  <r>
    <s v="TI205"/>
    <d v="2024-01-17T00:00:00"/>
    <s v="West"/>
    <s v="Maroti Bhise"/>
    <s v="Soap"/>
    <s v="Personal Care "/>
    <n v="9"/>
    <n v="1500"/>
    <n v="3000"/>
    <n v="13500"/>
    <n v="27000"/>
    <n v="1"/>
    <n v="13500"/>
    <n v="1"/>
    <n v="2024"/>
    <s v="Q1"/>
    <s v="Profit"/>
    <s v="Top Seller"/>
    <s v="Pending"/>
  </r>
  <r>
    <s v="TI206"/>
    <d v="2025-11-18T00:00:00"/>
    <s v="South"/>
    <s v="Rutuja Yede"/>
    <s v="Shampoo"/>
    <s v="Personal Care "/>
    <n v="6"/>
    <n v="6000"/>
    <n v="10000"/>
    <n v="36000"/>
    <n v="60000"/>
    <n v="11"/>
    <n v="24000"/>
    <n v="11"/>
    <n v="2025"/>
    <s v="Q4"/>
    <s v="Profit"/>
    <s v="Normal"/>
    <s v="Pending"/>
  </r>
  <r>
    <s v="TI207"/>
    <d v="2020-08-24T00:00:00"/>
    <s v="West"/>
    <s v="Mona Puri"/>
    <s v="Toothpaste"/>
    <s v="Dairy  "/>
    <n v="8"/>
    <n v="1500"/>
    <n v="3000"/>
    <n v="12000"/>
    <n v="24000"/>
    <n v="8"/>
    <n v="12000"/>
    <n v="8"/>
    <n v="2020"/>
    <s v="Q3"/>
    <s v="Profit"/>
    <s v="Normal"/>
    <s v="Pending"/>
  </r>
  <r>
    <s v="TI208"/>
    <d v="2020-09-05T00:00:00"/>
    <s v="South"/>
    <s v="Shivanad Gaikwad"/>
    <s v="Cheese"/>
    <s v="flour Grains "/>
    <n v="3"/>
    <n v="1500"/>
    <n v="3000"/>
    <n v="4500"/>
    <n v="9000"/>
    <n v="9"/>
    <n v="4500"/>
    <n v="9"/>
    <n v="2020"/>
    <s v="Q3"/>
    <s v="Profit"/>
    <s v="Top Seller"/>
    <s v="Pending"/>
  </r>
  <r>
    <s v="TI209"/>
    <d v="2023-04-25T00:00:00"/>
    <s v="South"/>
    <s v="Kondiba Fartade"/>
    <s v="Wheat"/>
    <s v="Staples  "/>
    <n v="9"/>
    <n v="6000"/>
    <n v="10000"/>
    <n v="54000"/>
    <n v="90000"/>
    <n v="4"/>
    <n v="36000"/>
    <n v="4"/>
    <n v="2023"/>
    <s v="Q2"/>
    <s v="Profit"/>
    <s v="Top Seller"/>
    <s v="Pending"/>
  </r>
  <r>
    <s v="TI210"/>
    <d v="2023-10-21T00:00:00"/>
    <s v="West"/>
    <s v="Sahil Sawant"/>
    <s v="Sugar"/>
    <s v="Produce  "/>
    <n v="7"/>
    <n v="35000"/>
    <n v="52000"/>
    <n v="245000"/>
    <n v="364000"/>
    <n v="10"/>
    <n v="119000"/>
    <n v="10"/>
    <n v="2023"/>
    <s v="Q4"/>
    <s v="Profit"/>
    <s v="Top Seller"/>
    <s v="Pending"/>
  </r>
  <r>
    <s v="TI211"/>
    <d v="2022-04-29T00:00:00"/>
    <s v="North"/>
    <s v="Sneha Dhokar"/>
    <s v="Vegetables"/>
    <s v="Personal Care "/>
    <n v="4"/>
    <n v="35000"/>
    <n v="52000"/>
    <n v="140000"/>
    <n v="208000"/>
    <n v="4"/>
    <n v="68000"/>
    <n v="4"/>
    <n v="2022"/>
    <s v="Q2"/>
    <s v="Profit"/>
    <s v="Top Seller"/>
    <s v="Pending"/>
  </r>
  <r>
    <s v="TI212"/>
    <d v="2025-08-20T00:00:00"/>
    <s v="East"/>
    <s v="Sakshi Fartade"/>
    <s v="Soap"/>
    <s v="Dairy  "/>
    <n v="3"/>
    <n v="35000"/>
    <n v="52000"/>
    <n v="105000"/>
    <n v="156000"/>
    <n v="8"/>
    <n v="51000"/>
    <n v="8"/>
    <n v="2025"/>
    <s v="Q3"/>
    <s v="Profit"/>
    <s v="Top Seller"/>
    <s v="Pending"/>
  </r>
  <r>
    <s v="TI213"/>
    <d v="2020-08-13T00:00:00"/>
    <s v="North"/>
    <s v="Sundar Tandle"/>
    <s v="Milk"/>
    <s v="Staples  "/>
    <n v="2"/>
    <n v="20000"/>
    <n v="30000"/>
    <n v="40000"/>
    <n v="60000"/>
    <n v="8"/>
    <n v="20000"/>
    <n v="8"/>
    <n v="2020"/>
    <s v="Q3"/>
    <s v="Profit"/>
    <s v="Top Seller"/>
    <s v="Cancelled"/>
  </r>
  <r>
    <s v="TI214"/>
    <d v="2022-08-22T00:00:00"/>
    <s v="South"/>
    <s v="Priynka Ingole"/>
    <s v="Salt"/>
    <s v="Produce  "/>
    <n v="9"/>
    <n v="35000"/>
    <n v="52000"/>
    <n v="315000"/>
    <n v="468000"/>
    <n v="8"/>
    <n v="153000"/>
    <n v="8"/>
    <n v="2022"/>
    <s v="Q3"/>
    <s v="Profit"/>
    <s v="Top Seller"/>
    <s v="Pending"/>
  </r>
  <r>
    <s v="TI215"/>
    <d v="2024-03-05T00:00:00"/>
    <s v="West"/>
    <s v="Saloni Bhise"/>
    <s v="Eggs"/>
    <s v="Staples  "/>
    <n v="8"/>
    <n v="35000"/>
    <n v="52000"/>
    <n v="280000"/>
    <n v="416000"/>
    <n v="3"/>
    <n v="136000"/>
    <n v="3"/>
    <n v="2024"/>
    <s v="Q1"/>
    <s v="Profit"/>
    <s v="Top Seller"/>
    <s v="Pending"/>
  </r>
  <r>
    <s v="TI216"/>
    <d v="2024-12-03T00:00:00"/>
    <s v="East"/>
    <s v="Ruchita Kale"/>
    <s v="Salt"/>
    <s v="Personal Care "/>
    <n v="2"/>
    <n v="20000"/>
    <n v="30000"/>
    <n v="40000"/>
    <n v="60000"/>
    <n v="12"/>
    <n v="20000"/>
    <n v="12"/>
    <n v="2024"/>
    <s v="Q4"/>
    <s v="Profit"/>
    <s v="Top Seller"/>
    <s v="Cancelled"/>
  </r>
  <r>
    <s v="TI217"/>
    <d v="2022-01-18T00:00:00"/>
    <s v="North"/>
    <s v="Pradip Pawar"/>
    <s v="Shampoo"/>
    <s v="Produce  "/>
    <n v="2"/>
    <n v="35000"/>
    <n v="52000"/>
    <n v="70000"/>
    <n v="104000"/>
    <n v="1"/>
    <n v="34000"/>
    <n v="1"/>
    <n v="2022"/>
    <s v="Q1"/>
    <s v="Profit"/>
    <s v="Top Seller"/>
    <s v="Cancelled"/>
  </r>
  <r>
    <s v="TI218"/>
    <d v="2021-04-28T00:00:00"/>
    <s v="South"/>
    <s v="Sakshi Kale"/>
    <s v="Vegetables"/>
    <s v="Produce  "/>
    <n v="6"/>
    <n v="6000"/>
    <n v="10000"/>
    <n v="36000"/>
    <n v="60000"/>
    <n v="4"/>
    <n v="24000"/>
    <n v="4"/>
    <n v="2021"/>
    <s v="Q2"/>
    <s v="Profit"/>
    <s v="Normal"/>
    <s v="Pending"/>
  </r>
  <r>
    <s v="TI219"/>
    <d v="2023-08-08T00:00:00"/>
    <s v="North"/>
    <s v="Shivanad Ingle"/>
    <s v="Eggs"/>
    <s v="Snacks  "/>
    <n v="1"/>
    <n v="12000"/>
    <n v="18000"/>
    <n v="12000"/>
    <n v="18000"/>
    <n v="8"/>
    <n v="6000"/>
    <n v="8"/>
    <n v="2023"/>
    <s v="Q3"/>
    <s v="Profit"/>
    <s v="Top Seller"/>
    <s v="Cancelled"/>
  </r>
  <r>
    <s v="TI220"/>
    <d v="2020-04-04T00:00:00"/>
    <s v="South"/>
    <s v="Asha Puri"/>
    <s v="Biscuits"/>
    <s v="Produce  "/>
    <n v="1"/>
    <n v="35000"/>
    <n v="52000"/>
    <n v="35000"/>
    <n v="52000"/>
    <n v="4"/>
    <n v="17000"/>
    <n v="4"/>
    <n v="2020"/>
    <s v="Q2"/>
    <s v="Profit"/>
    <s v="Top Seller"/>
    <s v="Cancelled"/>
  </r>
  <r>
    <s v="TI221"/>
    <d v="2023-06-17T00:00:00"/>
    <s v="South"/>
    <s v="Priynka Dange"/>
    <s v="Fruits"/>
    <s v="Snacks  "/>
    <n v="10"/>
    <n v="20000"/>
    <n v="30000"/>
    <n v="200000"/>
    <n v="300000"/>
    <n v="6"/>
    <n v="100000"/>
    <n v="6"/>
    <n v="2023"/>
    <s v="Q2"/>
    <s v="Profit"/>
    <s v="Top Seller"/>
    <s v="Completed"/>
  </r>
  <r>
    <s v="TI222"/>
    <d v="2022-04-15T00:00:00"/>
    <s v="West"/>
    <s v="Raj Kinkar"/>
    <s v="Biscuits"/>
    <s v="Personal Care "/>
    <n v="4"/>
    <n v="35000"/>
    <n v="52000"/>
    <n v="140000"/>
    <n v="208000"/>
    <n v="4"/>
    <n v="68000"/>
    <n v="4"/>
    <n v="2022"/>
    <s v="Q2"/>
    <s v="Profit"/>
    <s v="Normal"/>
    <s v="Pending"/>
  </r>
  <r>
    <s v="TI223"/>
    <d v="2023-08-25T00:00:00"/>
    <s v="East"/>
    <s v="Kartik Thorat"/>
    <s v="Shampoo"/>
    <s v="Produce  "/>
    <n v="1"/>
    <n v="12000"/>
    <n v="18000"/>
    <n v="12000"/>
    <n v="18000"/>
    <n v="8"/>
    <n v="6000"/>
    <n v="8"/>
    <n v="2023"/>
    <s v="Q3"/>
    <s v="Profit"/>
    <s v="Normal"/>
    <s v="Cancelled"/>
  </r>
  <r>
    <s v="TI224"/>
    <d v="2020-05-18T00:00:00"/>
    <s v="East"/>
    <s v="Pradip Tandle"/>
    <s v="Eggs"/>
    <s v="HouseUse  "/>
    <n v="1"/>
    <n v="20000"/>
    <n v="30000"/>
    <n v="20000"/>
    <n v="30000"/>
    <n v="5"/>
    <n v="10000"/>
    <n v="5"/>
    <n v="2020"/>
    <s v="Q2"/>
    <s v="Profit"/>
    <s v="Top Seller"/>
    <s v="Cancelled"/>
  </r>
  <r>
    <s v="TI225"/>
    <d v="2020-04-03T00:00:00"/>
    <s v="West"/>
    <s v="Kondiba Pawar"/>
    <s v="Detergent"/>
    <s v="Dairy  "/>
    <n v="9"/>
    <n v="12000"/>
    <n v="18000"/>
    <n v="108000"/>
    <n v="162000"/>
    <n v="4"/>
    <n v="54000"/>
    <n v="4"/>
    <n v="2020"/>
    <s v="Q2"/>
    <s v="Profit"/>
    <s v="Top Seller"/>
    <s v="Pending"/>
  </r>
  <r>
    <s v="TI226"/>
    <d v="2025-05-12T00:00:00"/>
    <s v="South"/>
    <s v="Sanket Mulgir"/>
    <s v="Milk"/>
    <s v="Dairy  "/>
    <n v="4"/>
    <n v="35000"/>
    <n v="52000"/>
    <n v="140000"/>
    <n v="208000"/>
    <n v="5"/>
    <n v="68000"/>
    <n v="5"/>
    <n v="2025"/>
    <s v="Q2"/>
    <s v="Profit"/>
    <s v="Normal"/>
    <s v="Pending"/>
  </r>
  <r>
    <s v="TI227"/>
    <d v="2021-03-18T00:00:00"/>
    <s v="West"/>
    <s v="Satyam Bhise"/>
    <s v="Cheese"/>
    <s v="Dairy  "/>
    <n v="2"/>
    <n v="6000"/>
    <n v="10000"/>
    <n v="12000"/>
    <n v="20000"/>
    <n v="3"/>
    <n v="8000"/>
    <n v="3"/>
    <n v="2021"/>
    <s v="Q1"/>
    <s v="Profit"/>
    <s v="Normal"/>
    <s v="Cancelled"/>
  </r>
  <r>
    <s v="TI228"/>
    <d v="2025-10-12T00:00:00"/>
    <s v="South"/>
    <s v="Sundar Kinkar"/>
    <s v="Milk"/>
    <s v="flour Grains "/>
    <n v="2"/>
    <n v="6000"/>
    <n v="10000"/>
    <n v="12000"/>
    <n v="20000"/>
    <n v="10"/>
    <n v="8000"/>
    <n v="10"/>
    <n v="2025"/>
    <s v="Q4"/>
    <s v="Profit"/>
    <s v="Top Seller"/>
    <s v="Cancelled"/>
  </r>
  <r>
    <s v="TI229"/>
    <d v="2022-08-12T00:00:00"/>
    <s v="West"/>
    <s v="Karan Butte"/>
    <s v="Wheat"/>
    <s v="Grains  "/>
    <n v="4"/>
    <n v="20000"/>
    <n v="30000"/>
    <n v="80000"/>
    <n v="120000"/>
    <n v="8"/>
    <n v="40000"/>
    <n v="8"/>
    <n v="2022"/>
    <s v="Q3"/>
    <s v="Profit"/>
    <s v="Normal"/>
    <s v="Pending"/>
  </r>
  <r>
    <s v="TI230"/>
    <d v="2022-11-07T00:00:00"/>
    <s v="North"/>
    <s v="Raj Jagtap"/>
    <s v="Rice"/>
    <s v="Beverages  "/>
    <n v="2"/>
    <n v="12000"/>
    <n v="18000"/>
    <n v="24000"/>
    <n v="36000"/>
    <n v="11"/>
    <n v="12000"/>
    <n v="11"/>
    <n v="2022"/>
    <s v="Q4"/>
    <s v="Profit"/>
    <s v="Normal"/>
    <s v="Cancelled"/>
  </r>
  <r>
    <s v="TI231"/>
    <d v="2023-09-28T00:00:00"/>
    <s v="South"/>
    <s v="Sneha Kale"/>
    <s v="Coffee"/>
    <s v="Grains  "/>
    <n v="10"/>
    <n v="1500"/>
    <n v="3000"/>
    <n v="15000"/>
    <n v="30000"/>
    <n v="9"/>
    <n v="15000"/>
    <n v="9"/>
    <n v="2023"/>
    <s v="Q3"/>
    <s v="Profit"/>
    <s v="Normal"/>
    <s v="Completed"/>
  </r>
  <r>
    <s v="TI232"/>
    <d v="2020-01-29T00:00:00"/>
    <s v="South"/>
    <s v="Saloni Jagtap"/>
    <s v="Rice"/>
    <s v="Personal Care "/>
    <n v="2"/>
    <n v="6000"/>
    <n v="10000"/>
    <n v="12000"/>
    <n v="20000"/>
    <n v="1"/>
    <n v="8000"/>
    <n v="1"/>
    <n v="2020"/>
    <s v="Q1"/>
    <s v="Profit"/>
    <s v="Top Seller"/>
    <s v="Cancelled"/>
  </r>
  <r>
    <s v="TI233"/>
    <d v="2024-06-03T00:00:00"/>
    <s v="East"/>
    <s v="Vaibhav Nirfhal"/>
    <s v="Shampoo"/>
    <s v="Dairy  "/>
    <n v="9"/>
    <n v="20000"/>
    <n v="30000"/>
    <n v="180000"/>
    <n v="270000"/>
    <n v="6"/>
    <n v="90000"/>
    <n v="6"/>
    <n v="2024"/>
    <s v="Q2"/>
    <s v="Profit"/>
    <s v="Normal"/>
    <s v="Pending"/>
  </r>
  <r>
    <s v="TI234"/>
    <d v="2021-01-28T00:00:00"/>
    <s v="East"/>
    <s v="Sundar Mali"/>
    <s v="Butter"/>
    <s v="Staples  "/>
    <n v="1"/>
    <n v="12000"/>
    <n v="18000"/>
    <n v="12000"/>
    <n v="18000"/>
    <n v="1"/>
    <n v="6000"/>
    <n v="1"/>
    <n v="2021"/>
    <s v="Q1"/>
    <s v="Profit"/>
    <s v="Normal"/>
    <s v="Cancelled"/>
  </r>
  <r>
    <s v="TI235"/>
    <d v="2025-12-03T00:00:00"/>
    <s v="East"/>
    <s v="Asha Mane"/>
    <s v="Salt"/>
    <s v="Dairy  "/>
    <n v="7"/>
    <n v="1500"/>
    <n v="3000"/>
    <n v="10500"/>
    <n v="21000"/>
    <n v="12"/>
    <n v="10500"/>
    <n v="12"/>
    <n v="2025"/>
    <s v="Q4"/>
    <s v="Profit"/>
    <s v="Normal"/>
    <s v="Pending"/>
  </r>
  <r>
    <s v="TI236"/>
    <d v="2025-01-29T00:00:00"/>
    <s v="South"/>
    <s v="Priynka Yede"/>
    <s v="Milk"/>
    <s v="Produce  "/>
    <n v="10"/>
    <n v="1500"/>
    <n v="3000"/>
    <n v="15000"/>
    <n v="30000"/>
    <n v="1"/>
    <n v="15000"/>
    <n v="1"/>
    <n v="2025"/>
    <s v="Q1"/>
    <s v="Profit"/>
    <s v="Normal"/>
    <s v="Completed"/>
  </r>
  <r>
    <s v="TI237"/>
    <d v="2025-10-25T00:00:00"/>
    <s v="West"/>
    <s v="Sakshi Puri"/>
    <s v="Eggs"/>
    <s v="Dairy  "/>
    <n v="4"/>
    <n v="1500"/>
    <n v="3000"/>
    <n v="6000"/>
    <n v="12000"/>
    <n v="10"/>
    <n v="6000"/>
    <n v="10"/>
    <n v="2025"/>
    <s v="Q4"/>
    <s v="Profit"/>
    <s v="Top Seller"/>
    <s v="Pending"/>
  </r>
  <r>
    <s v="TI238"/>
    <d v="2024-02-28T00:00:00"/>
    <s v="South"/>
    <s v="Rohan Mane"/>
    <s v="Milk"/>
    <s v="Dairy  "/>
    <n v="3"/>
    <n v="20000"/>
    <n v="30000"/>
    <n v="60000"/>
    <n v="90000"/>
    <n v="2"/>
    <n v="30000"/>
    <n v="2"/>
    <n v="2024"/>
    <s v="Q1"/>
    <s v="Profit"/>
    <s v="Normal"/>
    <s v="Pending"/>
  </r>
  <r>
    <s v="TI239"/>
    <d v="2020-02-07T00:00:00"/>
    <s v="South"/>
    <s v="Priynka Dange"/>
    <s v="Milk"/>
    <s v="Dairy  "/>
    <n v="2"/>
    <n v="6000"/>
    <n v="10000"/>
    <n v="12000"/>
    <n v="20000"/>
    <n v="2"/>
    <n v="8000"/>
    <n v="2"/>
    <n v="2020"/>
    <s v="Q1"/>
    <s v="Profit"/>
    <s v="Top Seller"/>
    <s v="Cancelled"/>
  </r>
  <r>
    <s v="TI240"/>
    <d v="2024-02-03T00:00:00"/>
    <s v="South"/>
    <s v="Rohan Ingole"/>
    <s v="Cheese"/>
    <s v="Bekery  "/>
    <n v="7"/>
    <n v="6000"/>
    <n v="10000"/>
    <n v="42000"/>
    <n v="70000"/>
    <n v="2"/>
    <n v="28000"/>
    <n v="2"/>
    <n v="2024"/>
    <s v="Q1"/>
    <s v="Profit"/>
    <s v="Top Seller"/>
    <s v="Pending"/>
  </r>
  <r>
    <s v="TI241"/>
    <d v="2025-10-30T00:00:00"/>
    <s v="South"/>
    <s v="Dinesh Dange"/>
    <s v="Bread"/>
    <s v="Produce  "/>
    <n v="3"/>
    <n v="12000"/>
    <n v="18000"/>
    <n v="36000"/>
    <n v="54000"/>
    <n v="10"/>
    <n v="18000"/>
    <n v="10"/>
    <n v="2025"/>
    <s v="Q4"/>
    <s v="Profit"/>
    <s v="Top Seller"/>
    <s v="Pending"/>
  </r>
  <r>
    <s v="TI242"/>
    <d v="2021-04-14T00:00:00"/>
    <s v="North"/>
    <s v="Dinesh Butte"/>
    <s v="Vegetables"/>
    <s v="Snacks  "/>
    <n v="4"/>
    <n v="35000"/>
    <n v="52000"/>
    <n v="140000"/>
    <n v="208000"/>
    <n v="4"/>
    <n v="68000"/>
    <n v="4"/>
    <n v="2021"/>
    <s v="Q2"/>
    <s v="Profit"/>
    <s v="Normal"/>
    <s v="Pending"/>
  </r>
  <r>
    <s v="TI243"/>
    <d v="2025-05-23T00:00:00"/>
    <s v="East"/>
    <s v="Priynka Pawar"/>
    <s v="Biscuits"/>
    <s v="Dairy  "/>
    <n v="2"/>
    <n v="6000"/>
    <n v="10000"/>
    <n v="12000"/>
    <n v="20000"/>
    <n v="5"/>
    <n v="8000"/>
    <n v="5"/>
    <n v="2025"/>
    <s v="Q2"/>
    <s v="Profit"/>
    <s v="Normal"/>
    <s v="Cancelled"/>
  </r>
  <r>
    <s v="TI244"/>
    <d v="2021-12-07T00:00:00"/>
    <s v="West"/>
    <s v="Asha Butte"/>
    <s v="Milk"/>
    <s v="Personal Care "/>
    <n v="2"/>
    <n v="12000"/>
    <n v="18000"/>
    <n v="24000"/>
    <n v="36000"/>
    <n v="12"/>
    <n v="12000"/>
    <n v="12"/>
    <n v="2021"/>
    <s v="Q4"/>
    <s v="Profit"/>
    <s v="Normal"/>
    <s v="Cancelled"/>
  </r>
  <r>
    <s v="TI245"/>
    <d v="2021-01-27T00:00:00"/>
    <s v="East"/>
    <s v="Sakshi Gaikwad"/>
    <s v="Soap"/>
    <s v="Snacks  "/>
    <n v="3"/>
    <n v="6000"/>
    <n v="10000"/>
    <n v="18000"/>
    <n v="30000"/>
    <n v="1"/>
    <n v="12000"/>
    <n v="1"/>
    <n v="2021"/>
    <s v="Q1"/>
    <s v="Profit"/>
    <s v="Top Seller"/>
    <s v="Pending"/>
  </r>
  <r>
    <s v="TI246"/>
    <d v="2023-04-12T00:00:00"/>
    <s v="North"/>
    <s v="Pradip Mulgir"/>
    <s v="Biscuits"/>
    <s v="Produce  "/>
    <n v="3"/>
    <n v="20000"/>
    <n v="30000"/>
    <n v="60000"/>
    <n v="90000"/>
    <n v="4"/>
    <n v="30000"/>
    <n v="4"/>
    <n v="2023"/>
    <s v="Q2"/>
    <s v="Profit"/>
    <s v="Normal"/>
    <s v="Pending"/>
  </r>
  <r>
    <s v="TI247"/>
    <d v="2022-12-17T00:00:00"/>
    <s v="East"/>
    <s v="Sundar Sawant"/>
    <s v="Vegetables"/>
    <s v="oil Edible Oils"/>
    <n v="2"/>
    <n v="12000"/>
    <n v="18000"/>
    <n v="24000"/>
    <n v="36000"/>
    <n v="12"/>
    <n v="12000"/>
    <n v="12"/>
    <n v="2022"/>
    <s v="Q4"/>
    <s v="Profit"/>
    <s v="Normal"/>
    <s v="Cancelled"/>
  </r>
  <r>
    <s v="TI248"/>
    <d v="2020-02-23T00:00:00"/>
    <s v="South"/>
    <s v="Asha Bhole"/>
    <s v="Cooking"/>
    <s v="flour Grains "/>
    <n v="4"/>
    <n v="1500"/>
    <n v="3000"/>
    <n v="6000"/>
    <n v="12000"/>
    <n v="2"/>
    <n v="6000"/>
    <n v="2"/>
    <n v="2020"/>
    <s v="Q1"/>
    <s v="Profit"/>
    <s v="Top Seller"/>
    <s v="Pending"/>
  </r>
  <r>
    <s v="TI249"/>
    <d v="2020-08-21T00:00:00"/>
    <s v="North"/>
    <s v="Asha Gaikwad"/>
    <s v="Wheat"/>
    <s v="Produce  "/>
    <n v="5"/>
    <n v="20000"/>
    <n v="30000"/>
    <n v="100000"/>
    <n v="150000"/>
    <n v="8"/>
    <n v="50000"/>
    <n v="8"/>
    <n v="2020"/>
    <s v="Q3"/>
    <s v="Profit"/>
    <s v="Top Seller"/>
    <s v="Pending"/>
  </r>
  <r>
    <s v="TI250"/>
    <d v="2021-01-11T00:00:00"/>
    <s v="East"/>
    <s v="Sachin Dhokar"/>
    <s v="Eggs"/>
    <s v="Dairy  "/>
    <n v="4"/>
    <n v="35000"/>
    <n v="52000"/>
    <n v="140000"/>
    <n v="208000"/>
    <n v="1"/>
    <n v="68000"/>
    <n v="1"/>
    <n v="2021"/>
    <s v="Q1"/>
    <s v="Profit"/>
    <s v="Top Seller"/>
    <s v="Pending"/>
  </r>
  <r>
    <s v="TI251"/>
    <d v="2021-08-16T00:00:00"/>
    <s v="North"/>
    <s v="Saloni Puri"/>
    <s v="Cheese"/>
    <s v="Dairy  "/>
    <n v="5"/>
    <n v="35000"/>
    <n v="52000"/>
    <n v="175000"/>
    <n v="260000"/>
    <n v="8"/>
    <n v="85000"/>
    <n v="8"/>
    <n v="2021"/>
    <s v="Q3"/>
    <s v="Profit"/>
    <s v="Top Seller"/>
    <s v="Pending"/>
  </r>
  <r>
    <s v="TI252"/>
    <d v="2024-07-14T00:00:00"/>
    <s v="West"/>
    <s v="Kondiba Mulgir"/>
    <s v="Cheese"/>
    <s v="Bekery  "/>
    <n v="10"/>
    <n v="6000"/>
    <n v="10000"/>
    <n v="60000"/>
    <n v="100000"/>
    <n v="7"/>
    <n v="40000"/>
    <n v="7"/>
    <n v="2024"/>
    <s v="Q3"/>
    <s v="Profit"/>
    <s v="Top Seller"/>
    <s v="Completed"/>
  </r>
  <r>
    <s v="TI253"/>
    <d v="2023-09-01T00:00:00"/>
    <s v="East"/>
    <s v="Sachin Fartade"/>
    <s v="Bread"/>
    <s v="Grains  "/>
    <n v="2"/>
    <n v="35000"/>
    <n v="52000"/>
    <n v="70000"/>
    <n v="104000"/>
    <n v="9"/>
    <n v="34000"/>
    <n v="9"/>
    <n v="2023"/>
    <s v="Q3"/>
    <s v="Profit"/>
    <s v="Top Seller"/>
    <s v="Cancelled"/>
  </r>
  <r>
    <s v="TI254"/>
    <d v="2025-09-27T00:00:00"/>
    <s v="South"/>
    <s v="Rutuja Bhise"/>
    <s v="Rice"/>
    <s v="Grains  "/>
    <n v="6"/>
    <n v="20000"/>
    <n v="30000"/>
    <n v="120000"/>
    <n v="180000"/>
    <n v="9"/>
    <n v="60000"/>
    <n v="9"/>
    <n v="2025"/>
    <s v="Q3"/>
    <s v="Profit"/>
    <s v="Top Seller"/>
    <s v="Pending"/>
  </r>
  <r>
    <s v="TI255"/>
    <d v="2022-08-13T00:00:00"/>
    <s v="North"/>
    <s v="Satyam Tandle"/>
    <s v="Rice"/>
    <s v="Produce  "/>
    <n v="10"/>
    <n v="6000"/>
    <n v="10000"/>
    <n v="60000"/>
    <n v="100000"/>
    <n v="8"/>
    <n v="40000"/>
    <n v="8"/>
    <n v="2022"/>
    <s v="Q3"/>
    <s v="Profit"/>
    <s v="Normal"/>
    <s v="Completed"/>
  </r>
  <r>
    <s v="TI256"/>
    <d v="2024-09-28T00:00:00"/>
    <s v="North"/>
    <s v="Priynka Ghule"/>
    <s v="Vegetables"/>
    <s v="oil Edible Oils"/>
    <n v="1"/>
    <n v="6000"/>
    <n v="10000"/>
    <n v="6000"/>
    <n v="10000"/>
    <n v="9"/>
    <n v="4000"/>
    <n v="9"/>
    <n v="2024"/>
    <s v="Q3"/>
    <s v="Profit"/>
    <s v="Top Seller"/>
    <s v="Cancelled"/>
  </r>
  <r>
    <s v="TI257"/>
    <d v="2020-05-14T00:00:00"/>
    <s v="East"/>
    <s v="Priynka Ingole"/>
    <s v="Cooking"/>
    <s v="Bekery  "/>
    <n v="8"/>
    <n v="35000"/>
    <n v="52000"/>
    <n v="280000"/>
    <n v="416000"/>
    <n v="5"/>
    <n v="136000"/>
    <n v="5"/>
    <n v="2020"/>
    <s v="Q2"/>
    <s v="Profit"/>
    <s v="Top Seller"/>
    <s v="Pending"/>
  </r>
  <r>
    <s v="TI258"/>
    <d v="2022-06-08T00:00:00"/>
    <s v="West"/>
    <s v="Sahil Ingle"/>
    <s v="Bread"/>
    <s v="oil Edible Oils"/>
    <n v="10"/>
    <n v="35000"/>
    <n v="52000"/>
    <n v="350000"/>
    <n v="520000"/>
    <n v="6"/>
    <n v="170000"/>
    <n v="6"/>
    <n v="2022"/>
    <s v="Q2"/>
    <s v="Profit"/>
    <s v="Normal"/>
    <s v="Completed"/>
  </r>
  <r>
    <s v="TI259"/>
    <d v="2021-07-30T00:00:00"/>
    <s v="South"/>
    <s v="Shivanad Mali"/>
    <s v="Cooking"/>
    <s v="Dairy  "/>
    <n v="2"/>
    <n v="6000"/>
    <n v="10000"/>
    <n v="12000"/>
    <n v="20000"/>
    <n v="7"/>
    <n v="8000"/>
    <n v="7"/>
    <n v="2021"/>
    <s v="Q3"/>
    <s v="Profit"/>
    <s v="Top Seller"/>
    <s v="Cancelled"/>
  </r>
  <r>
    <s v="TI260"/>
    <d v="2025-06-10T00:00:00"/>
    <s v="East"/>
    <s v="Sakshi Dange"/>
    <s v="Butter"/>
    <s v="Staples  "/>
    <n v="4"/>
    <n v="20000"/>
    <n v="30000"/>
    <n v="80000"/>
    <n v="120000"/>
    <n v="6"/>
    <n v="40000"/>
    <n v="6"/>
    <n v="2025"/>
    <s v="Q2"/>
    <s v="Profit"/>
    <s v="Normal"/>
    <s v="Pending"/>
  </r>
  <r>
    <s v="TI261"/>
    <d v="2022-12-24T00:00:00"/>
    <s v="North"/>
    <s v="Sneha Mulgir"/>
    <s v="Salt"/>
    <s v="Bekery  "/>
    <n v="1"/>
    <n v="1500"/>
    <n v="3000"/>
    <n v="1500"/>
    <n v="3000"/>
    <n v="12"/>
    <n v="1500"/>
    <n v="12"/>
    <n v="2022"/>
    <s v="Q4"/>
    <s v="Profit"/>
    <s v="Normal"/>
    <s v="Cancelled"/>
  </r>
  <r>
    <s v="TI262"/>
    <d v="2021-09-12T00:00:00"/>
    <s v="East"/>
    <s v="Sachin Jadhav"/>
    <s v="Bread"/>
    <s v="Grains  "/>
    <n v="2"/>
    <n v="12000"/>
    <n v="18000"/>
    <n v="24000"/>
    <n v="36000"/>
    <n v="9"/>
    <n v="12000"/>
    <n v="9"/>
    <n v="2021"/>
    <s v="Q3"/>
    <s v="Profit"/>
    <s v="Normal"/>
    <s v="Cancelled"/>
  </r>
  <r>
    <s v="TI263"/>
    <d v="2021-06-30T00:00:00"/>
    <s v="North"/>
    <s v="Maroti Mane"/>
    <s v="Rice"/>
    <s v="Staples  "/>
    <n v="1"/>
    <n v="20000"/>
    <n v="30000"/>
    <n v="20000"/>
    <n v="30000"/>
    <n v="6"/>
    <n v="10000"/>
    <n v="6"/>
    <n v="2021"/>
    <s v="Q2"/>
    <s v="Profit"/>
    <s v="Top Seller"/>
    <s v="Cancelled"/>
  </r>
  <r>
    <s v="TI264"/>
    <d v="2025-03-05T00:00:00"/>
    <s v="East"/>
    <s v="Ruchita Mulgir"/>
    <s v="Salt"/>
    <s v="flour Grains "/>
    <n v="4"/>
    <n v="35000"/>
    <n v="52000"/>
    <n v="140000"/>
    <n v="208000"/>
    <n v="3"/>
    <n v="68000"/>
    <n v="3"/>
    <n v="2025"/>
    <s v="Q1"/>
    <s v="Profit"/>
    <s v="Top Seller"/>
    <s v="Pending"/>
  </r>
  <r>
    <s v="TI265"/>
    <d v="2023-05-26T00:00:00"/>
    <s v="North"/>
    <s v="Sahil Bhise"/>
    <s v="Wheat"/>
    <s v="Staples  "/>
    <n v="6"/>
    <n v="6000"/>
    <n v="10000"/>
    <n v="36000"/>
    <n v="60000"/>
    <n v="5"/>
    <n v="24000"/>
    <n v="5"/>
    <n v="2023"/>
    <s v="Q2"/>
    <s v="Profit"/>
    <s v="Top Seller"/>
    <s v="Pending"/>
  </r>
  <r>
    <s v="TI266"/>
    <d v="2025-09-25T00:00:00"/>
    <s v="West"/>
    <s v="Sanket Butte"/>
    <s v="Salt"/>
    <s v="Beverages  "/>
    <n v="7"/>
    <n v="35000"/>
    <n v="52000"/>
    <n v="245000"/>
    <n v="364000"/>
    <n v="9"/>
    <n v="119000"/>
    <n v="9"/>
    <n v="2025"/>
    <s v="Q3"/>
    <s v="Profit"/>
    <s v="Normal"/>
    <s v="Pending"/>
  </r>
  <r>
    <s v="TI267"/>
    <d v="2022-04-30T00:00:00"/>
    <s v="North"/>
    <s v="Ganesh Thorat"/>
    <s v="Tea"/>
    <s v="Bekery  "/>
    <n v="6"/>
    <n v="1500"/>
    <n v="3000"/>
    <n v="9000"/>
    <n v="18000"/>
    <n v="4"/>
    <n v="9000"/>
    <n v="4"/>
    <n v="2022"/>
    <s v="Q2"/>
    <s v="Profit"/>
    <s v="Normal"/>
    <s v="Pending"/>
  </r>
  <r>
    <s v="TI268"/>
    <d v="2025-10-06T00:00:00"/>
    <s v="North"/>
    <s v="Kondiba Mane"/>
    <s v="Bread"/>
    <s v="Personal Care "/>
    <n v="1"/>
    <n v="12000"/>
    <n v="18000"/>
    <n v="12000"/>
    <n v="18000"/>
    <n v="10"/>
    <n v="6000"/>
    <n v="10"/>
    <n v="2025"/>
    <s v="Q4"/>
    <s v="Profit"/>
    <s v="Normal"/>
    <s v="Cancelled"/>
  </r>
  <r>
    <s v="TI269"/>
    <d v="2020-11-12T00:00:00"/>
    <s v="South"/>
    <s v="Karan Pawar"/>
    <s v="Soap"/>
    <s v="Produce  "/>
    <n v="2"/>
    <n v="6000"/>
    <n v="10000"/>
    <n v="12000"/>
    <n v="20000"/>
    <n v="11"/>
    <n v="8000"/>
    <n v="11"/>
    <n v="2020"/>
    <s v="Q4"/>
    <s v="Profit"/>
    <s v="Top Seller"/>
    <s v="Cancelled"/>
  </r>
  <r>
    <s v="TI270"/>
    <d v="2023-02-13T00:00:00"/>
    <s v="South"/>
    <s v="Sachin Tayde"/>
    <s v="Fruits"/>
    <s v="Produce  "/>
    <n v="4"/>
    <n v="20000"/>
    <n v="30000"/>
    <n v="80000"/>
    <n v="120000"/>
    <n v="2"/>
    <n v="40000"/>
    <n v="2"/>
    <n v="2023"/>
    <s v="Q1"/>
    <s v="Profit"/>
    <s v="Normal"/>
    <s v="Pending"/>
  </r>
  <r>
    <s v="TI271"/>
    <d v="2023-02-21T00:00:00"/>
    <s v="East"/>
    <s v="Asha Jagtap"/>
    <s v="Eggs"/>
    <s v="Produce  "/>
    <n v="9"/>
    <n v="1500"/>
    <n v="3000"/>
    <n v="13500"/>
    <n v="27000"/>
    <n v="2"/>
    <n v="13500"/>
    <n v="2"/>
    <n v="2023"/>
    <s v="Q1"/>
    <s v="Profit"/>
    <s v="Normal"/>
    <s v="Pending"/>
  </r>
  <r>
    <s v="TI272"/>
    <d v="2020-05-26T00:00:00"/>
    <s v="West"/>
    <s v="Kartik Pawar"/>
    <s v="Vegetables"/>
    <s v="HouseUse  "/>
    <n v="1"/>
    <n v="12000"/>
    <n v="18000"/>
    <n v="12000"/>
    <n v="18000"/>
    <n v="5"/>
    <n v="6000"/>
    <n v="5"/>
    <n v="2020"/>
    <s v="Q2"/>
    <s v="Profit"/>
    <s v="Normal"/>
    <s v="Cancelled"/>
  </r>
  <r>
    <s v="TI273"/>
    <d v="2022-08-07T00:00:00"/>
    <s v="North"/>
    <s v="Sundar Dange"/>
    <s v="Detergent"/>
    <s v="Snacks  "/>
    <n v="4"/>
    <n v="1500"/>
    <n v="3000"/>
    <n v="6000"/>
    <n v="12000"/>
    <n v="8"/>
    <n v="6000"/>
    <n v="8"/>
    <n v="2022"/>
    <s v="Q3"/>
    <s v="Profit"/>
    <s v="Top Seller"/>
    <s v="Pending"/>
  </r>
  <r>
    <s v="TI274"/>
    <d v="2022-09-15T00:00:00"/>
    <s v="South"/>
    <s v="Karan Kinkar"/>
    <s v="Biscuits"/>
    <s v="oil Edible Oils"/>
    <n v="4"/>
    <n v="12000"/>
    <n v="18000"/>
    <n v="48000"/>
    <n v="72000"/>
    <n v="9"/>
    <n v="24000"/>
    <n v="9"/>
    <n v="2022"/>
    <s v="Q3"/>
    <s v="Profit"/>
    <s v="Top Seller"/>
    <s v="Pending"/>
  </r>
  <r>
    <s v="TI275"/>
    <d v="2021-07-27T00:00:00"/>
    <s v="South"/>
    <s v="Sneha Ingole"/>
    <s v="Cooking"/>
    <s v="(dal) Pulses "/>
    <n v="10"/>
    <n v="12000"/>
    <n v="18000"/>
    <n v="120000"/>
    <n v="180000"/>
    <n v="7"/>
    <n v="60000"/>
    <n v="7"/>
    <n v="2021"/>
    <s v="Q3"/>
    <s v="Profit"/>
    <s v="Normal"/>
    <s v="Completed"/>
  </r>
  <r>
    <s v="TI276"/>
    <d v="2024-04-10T00:00:00"/>
    <s v="South"/>
    <s v="Ruchita Ghule"/>
    <s v="Lentils"/>
    <s v="Personal Care "/>
    <n v="3"/>
    <n v="1500"/>
    <n v="3000"/>
    <n v="4500"/>
    <n v="9000"/>
    <n v="4"/>
    <n v="4500"/>
    <n v="4"/>
    <n v="2024"/>
    <s v="Q2"/>
    <s v="Profit"/>
    <s v="Normal"/>
    <s v="Pending"/>
  </r>
  <r>
    <s v="TI277"/>
    <d v="2020-10-04T00:00:00"/>
    <s v="West"/>
    <s v="Kartik Sawant"/>
    <s v="Toothpaste"/>
    <s v="Produce  "/>
    <n v="3"/>
    <n v="6000"/>
    <n v="10000"/>
    <n v="18000"/>
    <n v="30000"/>
    <n v="10"/>
    <n v="12000"/>
    <n v="10"/>
    <n v="2020"/>
    <s v="Q4"/>
    <s v="Profit"/>
    <s v="Top Seller"/>
    <s v="Pending"/>
  </r>
  <r>
    <s v="TI278"/>
    <d v="2021-10-18T00:00:00"/>
    <s v="East"/>
    <s v="Kondiba Tayde"/>
    <s v="Fruits"/>
    <s v="Snacks  "/>
    <n v="9"/>
    <n v="35000"/>
    <n v="52000"/>
    <n v="315000"/>
    <n v="468000"/>
    <n v="10"/>
    <n v="153000"/>
    <n v="10"/>
    <n v="2021"/>
    <s v="Q4"/>
    <s v="Profit"/>
    <s v="Top Seller"/>
    <s v="Pending"/>
  </r>
  <r>
    <s v="TI279"/>
    <d v="2024-03-02T00:00:00"/>
    <s v="North"/>
    <s v="Kartik Mane"/>
    <s v="Biscuits"/>
    <s v="Produce  "/>
    <n v="7"/>
    <n v="12000"/>
    <n v="18000"/>
    <n v="84000"/>
    <n v="126000"/>
    <n v="3"/>
    <n v="42000"/>
    <n v="3"/>
    <n v="2024"/>
    <s v="Q1"/>
    <s v="Profit"/>
    <s v="Top Seller"/>
    <s v="Pending"/>
  </r>
  <r>
    <s v="TI280"/>
    <d v="2024-05-04T00:00:00"/>
    <s v="East"/>
    <s v="Raj Butte"/>
    <s v="Vegetables"/>
    <s v="Produce  "/>
    <n v="6"/>
    <n v="20000"/>
    <n v="30000"/>
    <n v="120000"/>
    <n v="180000"/>
    <n v="5"/>
    <n v="60000"/>
    <n v="5"/>
    <n v="2024"/>
    <s v="Q2"/>
    <s v="Profit"/>
    <s v="Top Seller"/>
    <s v="Pending"/>
  </r>
  <r>
    <s v="TI281"/>
    <d v="2022-09-29T00:00:00"/>
    <s v="South"/>
    <s v="Sakshi Sawant"/>
    <s v="Vegetables"/>
    <s v="oil Edible Oils"/>
    <n v="7"/>
    <n v="35000"/>
    <n v="52000"/>
    <n v="245000"/>
    <n v="364000"/>
    <n v="9"/>
    <n v="119000"/>
    <n v="9"/>
    <n v="2022"/>
    <s v="Q3"/>
    <s v="Profit"/>
    <s v="Top Seller"/>
    <s v="Pending"/>
  </r>
  <r>
    <s v="TI282"/>
    <d v="2020-10-13T00:00:00"/>
    <s v="North"/>
    <s v="Kartik Nirfhal"/>
    <s v="Cooking"/>
    <s v="Snacks  "/>
    <n v="8"/>
    <n v="20000"/>
    <n v="30000"/>
    <n v="160000"/>
    <n v="240000"/>
    <n v="10"/>
    <n v="80000"/>
    <n v="10"/>
    <n v="2020"/>
    <s v="Q4"/>
    <s v="Profit"/>
    <s v="Normal"/>
    <s v="Pending"/>
  </r>
  <r>
    <s v="TI283"/>
    <d v="2020-07-30T00:00:00"/>
    <s v="West"/>
    <s v="Maroti Fartade"/>
    <s v="Biscuits"/>
    <s v="Snacks  "/>
    <n v="4"/>
    <n v="6000"/>
    <n v="10000"/>
    <n v="24000"/>
    <n v="40000"/>
    <n v="7"/>
    <n v="16000"/>
    <n v="7"/>
    <n v="2020"/>
    <s v="Q3"/>
    <s v="Profit"/>
    <s v="Top Seller"/>
    <s v="Pending"/>
  </r>
  <r>
    <s v="TI284"/>
    <d v="2020-02-25T00:00:00"/>
    <s v="West"/>
    <s v="Sahil Mali"/>
    <s v="Biscuits"/>
    <s v="HouseUse  "/>
    <n v="7"/>
    <n v="6000"/>
    <n v="10000"/>
    <n v="42000"/>
    <n v="70000"/>
    <n v="2"/>
    <n v="28000"/>
    <n v="2"/>
    <n v="2020"/>
    <s v="Q1"/>
    <s v="Profit"/>
    <s v="Top Seller"/>
    <s v="Pending"/>
  </r>
  <r>
    <s v="TI285"/>
    <d v="2020-08-05T00:00:00"/>
    <s v="North"/>
    <s v="Sachin Mane"/>
    <s v="Detergent"/>
    <s v="Staples  "/>
    <n v="8"/>
    <n v="12000"/>
    <n v="18000"/>
    <n v="96000"/>
    <n v="144000"/>
    <n v="8"/>
    <n v="48000"/>
    <n v="8"/>
    <n v="2020"/>
    <s v="Q3"/>
    <s v="Profit"/>
    <s v="Normal"/>
    <s v="Pending"/>
  </r>
  <r>
    <s v="TI286"/>
    <d v="2021-04-10T00:00:00"/>
    <s v="East"/>
    <s v="Rohan Pawar"/>
    <s v="Sugar"/>
    <s v="Grains  "/>
    <n v="6"/>
    <n v="1500"/>
    <n v="3000"/>
    <n v="9000"/>
    <n v="18000"/>
    <n v="4"/>
    <n v="9000"/>
    <n v="4"/>
    <n v="2021"/>
    <s v="Q2"/>
    <s v="Profit"/>
    <s v="Top Seller"/>
    <s v="Pending"/>
  </r>
  <r>
    <s v="TI287"/>
    <d v="2024-06-26T00:00:00"/>
    <s v="North"/>
    <s v="Ruchita Bhise"/>
    <s v="Rice"/>
    <s v="Bekery  "/>
    <n v="1"/>
    <n v="35000"/>
    <n v="52000"/>
    <n v="35000"/>
    <n v="52000"/>
    <n v="6"/>
    <n v="17000"/>
    <n v="6"/>
    <n v="2024"/>
    <s v="Q2"/>
    <s v="Profit"/>
    <s v="Normal"/>
    <s v="Cancelled"/>
  </r>
  <r>
    <s v="TI288"/>
    <d v="2020-04-15T00:00:00"/>
    <s v="South"/>
    <s v="Amruta Fartade"/>
    <s v="Bread"/>
    <s v="flour Grains "/>
    <n v="1"/>
    <n v="12000"/>
    <n v="18000"/>
    <n v="12000"/>
    <n v="18000"/>
    <n v="4"/>
    <n v="6000"/>
    <n v="4"/>
    <n v="2020"/>
    <s v="Q2"/>
    <s v="Profit"/>
    <s v="Top Seller"/>
    <s v="Cancelled"/>
  </r>
  <r>
    <s v="TI289"/>
    <d v="2021-11-21T00:00:00"/>
    <s v="West"/>
    <s v="Sneha Yede"/>
    <s v="Wheat"/>
    <s v="Beverages  "/>
    <n v="6"/>
    <n v="12000"/>
    <n v="18000"/>
    <n v="72000"/>
    <n v="108000"/>
    <n v="11"/>
    <n v="36000"/>
    <n v="11"/>
    <n v="2021"/>
    <s v="Q4"/>
    <s v="Profit"/>
    <s v="Top Seller"/>
    <s v="Pending"/>
  </r>
  <r>
    <s v="TI290"/>
    <d v="2023-10-27T00:00:00"/>
    <s v="West"/>
    <s v="Dinesh Gaikwad"/>
    <s v="Tea"/>
    <s v="Dairy  "/>
    <n v="4"/>
    <n v="20000"/>
    <n v="30000"/>
    <n v="80000"/>
    <n v="120000"/>
    <n v="10"/>
    <n v="40000"/>
    <n v="10"/>
    <n v="2023"/>
    <s v="Q4"/>
    <s v="Profit"/>
    <s v="Top Seller"/>
    <s v="Pending"/>
  </r>
  <r>
    <s v="TI291"/>
    <d v="2023-08-12T00:00:00"/>
    <s v="West"/>
    <s v="Sakshi Ghule"/>
    <s v="Butter"/>
    <s v="Produce  "/>
    <n v="6"/>
    <n v="20000"/>
    <n v="30000"/>
    <n v="120000"/>
    <n v="180000"/>
    <n v="8"/>
    <n v="60000"/>
    <n v="8"/>
    <n v="2023"/>
    <s v="Q3"/>
    <s v="Profit"/>
    <s v="Top Seller"/>
    <s v="Pending"/>
  </r>
  <r>
    <s v="TI292"/>
    <d v="2020-09-15T00:00:00"/>
    <s v="West"/>
    <s v="Saloni Dange"/>
    <s v="Fruits"/>
    <s v="Produce  "/>
    <n v="6"/>
    <n v="12000"/>
    <n v="18000"/>
    <n v="72000"/>
    <n v="108000"/>
    <n v="9"/>
    <n v="36000"/>
    <n v="9"/>
    <n v="2020"/>
    <s v="Q3"/>
    <s v="Profit"/>
    <s v="Top Seller"/>
    <s v="Pending"/>
  </r>
  <r>
    <s v="TI293"/>
    <d v="2021-04-24T00:00:00"/>
    <s v="South"/>
    <s v="Raj Butte"/>
    <s v="Eggs"/>
    <s v="Produce  "/>
    <n v="6"/>
    <n v="20000"/>
    <n v="30000"/>
    <n v="120000"/>
    <n v="180000"/>
    <n v="4"/>
    <n v="60000"/>
    <n v="4"/>
    <n v="2021"/>
    <s v="Q2"/>
    <s v="Profit"/>
    <s v="Normal"/>
    <s v="Pending"/>
  </r>
  <r>
    <s v="TI294"/>
    <d v="2024-04-01T00:00:00"/>
    <s v="North"/>
    <s v="Ganesh Nirfhal"/>
    <s v="Vegetables"/>
    <s v="Dairy  "/>
    <n v="4"/>
    <n v="6000"/>
    <n v="10000"/>
    <n v="24000"/>
    <n v="40000"/>
    <n v="4"/>
    <n v="16000"/>
    <n v="4"/>
    <n v="2024"/>
    <s v="Q2"/>
    <s v="Profit"/>
    <s v="Top Seller"/>
    <s v="Pending"/>
  </r>
  <r>
    <s v="TI295"/>
    <d v="2022-11-17T00:00:00"/>
    <s v="East"/>
    <s v="Asha Mulgir"/>
    <s v="Milk"/>
    <s v="Beverages  "/>
    <n v="7"/>
    <n v="20000"/>
    <n v="30000"/>
    <n v="140000"/>
    <n v="210000"/>
    <n v="11"/>
    <n v="70000"/>
    <n v="11"/>
    <n v="2022"/>
    <s v="Q4"/>
    <s v="Profit"/>
    <s v="Top Seller"/>
    <s v="Pending"/>
  </r>
  <r>
    <s v="TI296"/>
    <d v="2021-12-02T00:00:00"/>
    <s v="West"/>
    <s v="Sneha Fartade"/>
    <s v="Tea"/>
    <s v="(dal) Pulses "/>
    <n v="9"/>
    <n v="35000"/>
    <n v="52000"/>
    <n v="315000"/>
    <n v="468000"/>
    <n v="12"/>
    <n v="153000"/>
    <n v="12"/>
    <n v="2021"/>
    <s v="Q4"/>
    <s v="Profit"/>
    <s v="Top Seller"/>
    <s v="Pending"/>
  </r>
  <r>
    <s v="TI297"/>
    <d v="2025-08-19T00:00:00"/>
    <s v="North"/>
    <s v="Maroti Kinkar"/>
    <s v="Lentils"/>
    <s v="HouseUse  "/>
    <n v="4"/>
    <n v="35000"/>
    <n v="52000"/>
    <n v="140000"/>
    <n v="208000"/>
    <n v="8"/>
    <n v="68000"/>
    <n v="8"/>
    <n v="2025"/>
    <s v="Q3"/>
    <s v="Profit"/>
    <s v="Top Seller"/>
    <s v="Pending"/>
  </r>
  <r>
    <s v="TI298"/>
    <d v="2021-10-03T00:00:00"/>
    <s v="South"/>
    <s v="Kartik Pawar"/>
    <s v="Detergent"/>
    <s v="flour Grains "/>
    <n v="7"/>
    <n v="6000"/>
    <n v="10000"/>
    <n v="42000"/>
    <n v="70000"/>
    <n v="10"/>
    <n v="28000"/>
    <n v="10"/>
    <n v="2021"/>
    <s v="Q4"/>
    <s v="Profit"/>
    <s v="Normal"/>
    <s v="Pending"/>
  </r>
  <r>
    <s v="TI299"/>
    <d v="2022-07-24T00:00:00"/>
    <s v="East"/>
    <s v="Sachin Kale"/>
    <s v="Wheat"/>
    <s v="Produce  "/>
    <n v="3"/>
    <n v="6000"/>
    <n v="10000"/>
    <n v="18000"/>
    <n v="30000"/>
    <n v="7"/>
    <n v="12000"/>
    <n v="7"/>
    <n v="2022"/>
    <s v="Q3"/>
    <s v="Profit"/>
    <s v="Top Seller"/>
    <s v="Pending"/>
  </r>
  <r>
    <s v="TI300"/>
    <d v="2025-05-18T00:00:00"/>
    <s v="North"/>
    <s v="Maroti Mane"/>
    <s v="Vegetables"/>
    <s v="Produce  "/>
    <n v="4"/>
    <n v="20000"/>
    <n v="30000"/>
    <n v="80000"/>
    <n v="120000"/>
    <n v="5"/>
    <n v="40000"/>
    <n v="5"/>
    <n v="2025"/>
    <s v="Q2"/>
    <s v="Profit"/>
    <s v="Normal"/>
    <s v="Pending"/>
  </r>
  <r>
    <m/>
    <m/>
    <m/>
    <m/>
    <m/>
    <m/>
    <m/>
    <m/>
    <m/>
    <m/>
    <m/>
    <m/>
    <m/>
    <m/>
    <m/>
    <m/>
    <m/>
    <m/>
    <m/>
  </r>
  <r>
    <m/>
    <m/>
    <m/>
    <m/>
    <m/>
    <m/>
    <m/>
    <m/>
    <m/>
    <m/>
    <m/>
    <m/>
    <m/>
    <m/>
    <m/>
    <m/>
    <m/>
    <m/>
    <m/>
  </r>
  <r>
    <m/>
    <m/>
    <m/>
    <m/>
    <m/>
    <m/>
    <m/>
    <m/>
    <m/>
    <m/>
    <m/>
    <m/>
    <m/>
    <m/>
    <m/>
    <m/>
    <m/>
    <m/>
    <m/>
  </r>
  <r>
    <m/>
    <m/>
    <m/>
    <m/>
    <m/>
    <m/>
    <m/>
    <m/>
    <m/>
    <m/>
    <m/>
    <m/>
    <m/>
    <m/>
    <m/>
    <m/>
    <m/>
    <m/>
    <m/>
  </r>
  <r>
    <m/>
    <m/>
    <m/>
    <m/>
    <m/>
    <m/>
    <s v="Category"/>
    <s v="Average"/>
    <m/>
    <m/>
    <s v="Region"/>
    <s v="Total Revenu"/>
    <m/>
    <m/>
    <m/>
    <s v=" Lossno"/>
    <n v="0"/>
    <m/>
    <s v="Category"/>
  </r>
  <r>
    <m/>
    <m/>
    <m/>
    <m/>
    <m/>
    <m/>
    <s v="Beverages  "/>
    <n v="25705.882352941175"/>
    <m/>
    <m/>
    <s v="West"/>
    <n v="6133000"/>
    <m/>
    <m/>
    <m/>
    <m/>
    <m/>
    <m/>
    <s v="Produce  "/>
  </r>
  <r>
    <m/>
    <m/>
    <m/>
    <m/>
    <m/>
    <m/>
    <m/>
    <m/>
    <m/>
    <m/>
    <m/>
    <m/>
    <m/>
    <m/>
    <m/>
    <m/>
    <m/>
    <m/>
    <m/>
  </r>
  <r>
    <m/>
    <m/>
    <m/>
    <m/>
    <m/>
    <m/>
    <m/>
    <m/>
    <m/>
    <m/>
    <m/>
    <m/>
    <m/>
    <m/>
    <m/>
    <m/>
    <m/>
    <m/>
    <m/>
  </r>
  <r>
    <m/>
    <m/>
    <m/>
    <m/>
    <m/>
    <m/>
    <s v="Restrict Units "/>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r>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215:H232"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16" firstHeaderRow="1" firstDataRow="1" firstDataCol="1"/>
  <pivotFields count="17">
    <pivotField showAll="0"/>
    <pivotField numFmtId="14" showAll="0"/>
    <pivotField showAll="0">
      <items count="6">
        <item x="2"/>
        <item x="3"/>
        <item x="0"/>
        <item x="1"/>
        <item x="4"/>
        <item t="default"/>
      </items>
    </pivotField>
    <pivotField showAll="0"/>
    <pivotField showAll="0"/>
    <pivotField showAll="0"/>
    <pivotField showAll="0"/>
    <pivotField showAll="0"/>
    <pivotField showAll="0"/>
    <pivotField showAll="0"/>
    <pivotField dataField="1" showAll="0">
      <items count="44">
        <item x="18"/>
        <item x="8"/>
        <item x="12"/>
        <item x="21"/>
        <item x="40"/>
        <item x="27"/>
        <item x="17"/>
        <item x="2"/>
        <item x="15"/>
        <item x="24"/>
        <item x="19"/>
        <item x="26"/>
        <item x="22"/>
        <item x="25"/>
        <item x="34"/>
        <item x="35"/>
        <item x="29"/>
        <item x="4"/>
        <item x="41"/>
        <item x="1"/>
        <item x="37"/>
        <item x="10"/>
        <item x="5"/>
        <item x="31"/>
        <item x="3"/>
        <item x="30"/>
        <item x="0"/>
        <item x="42"/>
        <item x="16"/>
        <item x="11"/>
        <item x="39"/>
        <item x="32"/>
        <item x="23"/>
        <item x="14"/>
        <item x="38"/>
        <item x="7"/>
        <item x="13"/>
        <item x="20"/>
        <item x="6"/>
        <item x="9"/>
        <item x="28"/>
        <item x="36"/>
        <item x="33"/>
        <item t="default"/>
      </items>
    </pivotField>
    <pivotField showAll="0"/>
    <pivotField axis="axisRow" showAll="0">
      <items count="13">
        <item x="7"/>
        <item x="11"/>
        <item x="5"/>
        <item x="4"/>
        <item x="2"/>
        <item x="6"/>
        <item x="9"/>
        <item x="0"/>
        <item x="8"/>
        <item x="3"/>
        <item x="1"/>
        <item x="10"/>
        <item t="default"/>
      </items>
    </pivotField>
    <pivotField showAll="0">
      <items count="7">
        <item x="4"/>
        <item x="5"/>
        <item x="3"/>
        <item x="1"/>
        <item x="0"/>
        <item x="2"/>
        <item t="default"/>
      </items>
    </pivotField>
    <pivotField showAll="0">
      <items count="5">
        <item x="3"/>
        <item x="2"/>
        <item x="0"/>
        <item x="1"/>
        <item t="default"/>
      </items>
    </pivotField>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Revenue" fld="10" baseField="0" baseItem="0"/>
  </dataField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7" firstHeaderRow="1" firstDataRow="1" firstDataCol="1"/>
  <pivotFields count="17">
    <pivotField showAll="0"/>
    <pivotField numFmtId="14" showAll="0">
      <items count="187">
        <item x="91"/>
        <item x="124"/>
        <item x="130"/>
        <item x="139"/>
        <item x="170"/>
        <item x="97"/>
        <item x="117"/>
        <item x="112"/>
        <item x="174"/>
        <item x="147"/>
        <item x="116"/>
        <item x="159"/>
        <item x="26"/>
        <item x="48"/>
        <item x="169"/>
        <item x="171"/>
        <item x="105"/>
        <item x="140"/>
        <item x="100"/>
        <item x="101"/>
        <item x="177"/>
        <item x="11"/>
        <item x="164"/>
        <item x="49"/>
        <item x="156"/>
        <item x="84"/>
        <item x="17"/>
        <item x="141"/>
        <item x="60"/>
        <item x="136"/>
        <item x="126"/>
        <item x="86"/>
        <item x="119"/>
        <item x="42"/>
        <item x="21"/>
        <item x="172"/>
        <item x="71"/>
        <item x="133"/>
        <item x="178"/>
        <item x="110"/>
        <item x="93"/>
        <item x="82"/>
        <item x="68"/>
        <item x="151"/>
        <item x="162"/>
        <item x="58"/>
        <item x="142"/>
        <item x="33"/>
        <item x="183"/>
        <item x="165"/>
        <item x="66"/>
        <item x="45"/>
        <item x="175"/>
        <item x="181"/>
        <item x="135"/>
        <item x="56"/>
        <item x="24"/>
        <item x="109"/>
        <item x="65"/>
        <item x="29"/>
        <item x="46"/>
        <item x="40"/>
        <item x="7"/>
        <item x="52"/>
        <item x="114"/>
        <item x="87"/>
        <item x="103"/>
        <item x="154"/>
        <item x="12"/>
        <item x="38"/>
        <item x="5"/>
        <item x="85"/>
        <item x="148"/>
        <item x="184"/>
        <item x="160"/>
        <item x="121"/>
        <item x="146"/>
        <item x="34"/>
        <item x="106"/>
        <item x="88"/>
        <item x="161"/>
        <item x="168"/>
        <item x="55"/>
        <item x="19"/>
        <item x="79"/>
        <item x="122"/>
        <item x="180"/>
        <item x="63"/>
        <item x="138"/>
        <item x="150"/>
        <item x="10"/>
        <item x="75"/>
        <item x="157"/>
        <item x="158"/>
        <item x="32"/>
        <item x="90"/>
        <item x="36"/>
        <item x="73"/>
        <item x="137"/>
        <item x="6"/>
        <item x="76"/>
        <item x="152"/>
        <item x="51"/>
        <item x="113"/>
        <item x="89"/>
        <item x="25"/>
        <item x="8"/>
        <item x="47"/>
        <item x="50"/>
        <item x="80"/>
        <item x="111"/>
        <item x="14"/>
        <item x="115"/>
        <item x="144"/>
        <item x="96"/>
        <item x="123"/>
        <item x="27"/>
        <item x="54"/>
        <item x="102"/>
        <item x="176"/>
        <item x="9"/>
        <item x="39"/>
        <item x="1"/>
        <item x="94"/>
        <item x="81"/>
        <item x="15"/>
        <item x="78"/>
        <item x="131"/>
        <item x="70"/>
        <item x="129"/>
        <item x="166"/>
        <item x="107"/>
        <item x="179"/>
        <item x="163"/>
        <item x="95"/>
        <item x="167"/>
        <item x="20"/>
        <item x="125"/>
        <item x="41"/>
        <item x="67"/>
        <item x="173"/>
        <item x="143"/>
        <item x="13"/>
        <item x="16"/>
        <item x="0"/>
        <item x="64"/>
        <item x="3"/>
        <item x="98"/>
        <item x="4"/>
        <item x="74"/>
        <item x="108"/>
        <item x="61"/>
        <item x="30"/>
        <item x="37"/>
        <item x="77"/>
        <item x="31"/>
        <item x="59"/>
        <item x="62"/>
        <item x="72"/>
        <item x="43"/>
        <item x="2"/>
        <item x="118"/>
        <item x="185"/>
        <item x="22"/>
        <item x="134"/>
        <item x="57"/>
        <item x="149"/>
        <item x="69"/>
        <item x="28"/>
        <item x="182"/>
        <item x="104"/>
        <item x="18"/>
        <item x="92"/>
        <item x="53"/>
        <item x="23"/>
        <item x="44"/>
        <item x="153"/>
        <item x="145"/>
        <item x="155"/>
        <item x="120"/>
        <item x="128"/>
        <item x="132"/>
        <item x="99"/>
        <item x="127"/>
        <item x="83"/>
        <item x="35"/>
        <item t="default"/>
      </items>
    </pivotField>
    <pivotField showAll="0">
      <items count="6">
        <item x="2"/>
        <item x="3"/>
        <item x="0"/>
        <item x="1"/>
        <item x="4"/>
        <item t="default"/>
      </items>
    </pivotField>
    <pivotField showAll="0"/>
    <pivotField showAll="0"/>
    <pivotField axis="axisRow" dataField="1" showAll="0">
      <items count="14">
        <item x="3"/>
        <item x="11"/>
        <item x="1"/>
        <item x="0"/>
        <item x="10"/>
        <item x="9"/>
        <item x="6"/>
        <item x="8"/>
        <item x="7"/>
        <item x="2"/>
        <item x="4"/>
        <item x="5"/>
        <item x="12"/>
        <item t="default"/>
      </items>
    </pivotField>
    <pivotField showAll="0"/>
    <pivotField showAll="0"/>
    <pivotField showAll="0"/>
    <pivotField showAll="0"/>
    <pivotField showAll="0"/>
    <pivotField showAll="0"/>
    <pivotField showAll="0">
      <items count="13">
        <item x="7"/>
        <item x="11"/>
        <item x="5"/>
        <item x="4"/>
        <item x="2"/>
        <item x="6"/>
        <item x="9"/>
        <item x="0"/>
        <item x="8"/>
        <item x="3"/>
        <item x="1"/>
        <item x="10"/>
        <item t="default"/>
      </items>
    </pivotField>
    <pivotField showAll="0">
      <items count="7">
        <item x="4"/>
        <item x="5"/>
        <item x="3"/>
        <item x="1"/>
        <item x="0"/>
        <item x="2"/>
        <item t="default"/>
      </items>
    </pivotField>
    <pivotField showAll="0">
      <items count="5">
        <item x="3"/>
        <item x="2"/>
        <item x="0"/>
        <item x="1"/>
        <item t="default"/>
      </items>
    </pivotField>
    <pivotField showAll="0"/>
    <pivotField showAll="0"/>
  </pivotFields>
  <rowFields count="1">
    <field x="5"/>
  </rowFields>
  <rowItems count="14">
    <i>
      <x/>
    </i>
    <i>
      <x v="1"/>
    </i>
    <i>
      <x v="2"/>
    </i>
    <i>
      <x v="3"/>
    </i>
    <i>
      <x v="4"/>
    </i>
    <i>
      <x v="5"/>
    </i>
    <i>
      <x v="6"/>
    </i>
    <i>
      <x v="7"/>
    </i>
    <i>
      <x v="8"/>
    </i>
    <i>
      <x v="9"/>
    </i>
    <i>
      <x v="10"/>
    </i>
    <i>
      <x v="11"/>
    </i>
    <i>
      <x v="12"/>
    </i>
    <i t="grand">
      <x/>
    </i>
  </rowItems>
  <colItems count="1">
    <i/>
  </colItems>
  <dataFields count="1">
    <dataField name="Count of Category" fld="5" subtotal="count" baseField="0" baseItem="0"/>
  </dataFields>
  <chartFormats count="42">
    <chartFormat chart="2"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5" count="1" selected="0">
            <x v="0"/>
          </reference>
        </references>
      </pivotArea>
    </chartFormat>
    <chartFormat chart="5" format="17">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0"/>
          </reference>
          <reference field="5" count="1" selected="0">
            <x v="2"/>
          </reference>
        </references>
      </pivotArea>
    </chartFormat>
    <chartFormat chart="5" format="19">
      <pivotArea type="data" outline="0" fieldPosition="0">
        <references count="2">
          <reference field="4294967294" count="1" selected="0">
            <x v="0"/>
          </reference>
          <reference field="5" count="1" selected="0">
            <x v="3"/>
          </reference>
        </references>
      </pivotArea>
    </chartFormat>
    <chartFormat chart="5" format="20">
      <pivotArea type="data" outline="0" fieldPosition="0">
        <references count="2">
          <reference field="4294967294" count="1" selected="0">
            <x v="0"/>
          </reference>
          <reference field="5" count="1" selected="0">
            <x v="4"/>
          </reference>
        </references>
      </pivotArea>
    </chartFormat>
    <chartFormat chart="5" format="21">
      <pivotArea type="data" outline="0" fieldPosition="0">
        <references count="2">
          <reference field="4294967294" count="1" selected="0">
            <x v="0"/>
          </reference>
          <reference field="5" count="1" selected="0">
            <x v="5"/>
          </reference>
        </references>
      </pivotArea>
    </chartFormat>
    <chartFormat chart="5" format="22">
      <pivotArea type="data" outline="0" fieldPosition="0">
        <references count="2">
          <reference field="4294967294" count="1" selected="0">
            <x v="0"/>
          </reference>
          <reference field="5" count="1" selected="0">
            <x v="6"/>
          </reference>
        </references>
      </pivotArea>
    </chartFormat>
    <chartFormat chart="5" format="23">
      <pivotArea type="data" outline="0" fieldPosition="0">
        <references count="2">
          <reference field="4294967294" count="1" selected="0">
            <x v="0"/>
          </reference>
          <reference field="5" count="1" selected="0">
            <x v="7"/>
          </reference>
        </references>
      </pivotArea>
    </chartFormat>
    <chartFormat chart="5" format="24">
      <pivotArea type="data" outline="0" fieldPosition="0">
        <references count="2">
          <reference field="4294967294" count="1" selected="0">
            <x v="0"/>
          </reference>
          <reference field="5" count="1" selected="0">
            <x v="8"/>
          </reference>
        </references>
      </pivotArea>
    </chartFormat>
    <chartFormat chart="5" format="25">
      <pivotArea type="data" outline="0" fieldPosition="0">
        <references count="2">
          <reference field="4294967294" count="1" selected="0">
            <x v="0"/>
          </reference>
          <reference field="5" count="1" selected="0">
            <x v="9"/>
          </reference>
        </references>
      </pivotArea>
    </chartFormat>
    <chartFormat chart="5" format="26">
      <pivotArea type="data" outline="0" fieldPosition="0">
        <references count="2">
          <reference field="4294967294" count="1" selected="0">
            <x v="0"/>
          </reference>
          <reference field="5" count="1" selected="0">
            <x v="10"/>
          </reference>
        </references>
      </pivotArea>
    </chartFormat>
    <chartFormat chart="5" format="27">
      <pivotArea type="data" outline="0" fieldPosition="0">
        <references count="2">
          <reference field="4294967294" count="1" selected="0">
            <x v="0"/>
          </reference>
          <reference field="5" count="1" selected="0">
            <x v="11"/>
          </reference>
        </references>
      </pivotArea>
    </chartFormat>
    <chartFormat chart="5" format="28">
      <pivotArea type="data" outline="0" fieldPosition="0">
        <references count="2">
          <reference field="4294967294" count="1" selected="0">
            <x v="0"/>
          </reference>
          <reference field="5" count="1" selected="0">
            <x v="12"/>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7" format="18">
      <pivotArea type="data" outline="0" fieldPosition="0">
        <references count="2">
          <reference field="4294967294" count="1" selected="0">
            <x v="0"/>
          </reference>
          <reference field="5" count="1" selected="0">
            <x v="2"/>
          </reference>
        </references>
      </pivotArea>
    </chartFormat>
    <chartFormat chart="7" format="19">
      <pivotArea type="data" outline="0" fieldPosition="0">
        <references count="2">
          <reference field="4294967294" count="1" selected="0">
            <x v="0"/>
          </reference>
          <reference field="5" count="1" selected="0">
            <x v="3"/>
          </reference>
        </references>
      </pivotArea>
    </chartFormat>
    <chartFormat chart="7" format="20">
      <pivotArea type="data" outline="0" fieldPosition="0">
        <references count="2">
          <reference field="4294967294" count="1" selected="0">
            <x v="0"/>
          </reference>
          <reference field="5" count="1" selected="0">
            <x v="4"/>
          </reference>
        </references>
      </pivotArea>
    </chartFormat>
    <chartFormat chart="7" format="21">
      <pivotArea type="data" outline="0" fieldPosition="0">
        <references count="2">
          <reference field="4294967294" count="1" selected="0">
            <x v="0"/>
          </reference>
          <reference field="5" count="1" selected="0">
            <x v="5"/>
          </reference>
        </references>
      </pivotArea>
    </chartFormat>
    <chartFormat chart="7" format="22">
      <pivotArea type="data" outline="0" fieldPosition="0">
        <references count="2">
          <reference field="4294967294" count="1" selected="0">
            <x v="0"/>
          </reference>
          <reference field="5" count="1" selected="0">
            <x v="6"/>
          </reference>
        </references>
      </pivotArea>
    </chartFormat>
    <chartFormat chart="7" format="23">
      <pivotArea type="data" outline="0" fieldPosition="0">
        <references count="2">
          <reference field="4294967294" count="1" selected="0">
            <x v="0"/>
          </reference>
          <reference field="5" count="1" selected="0">
            <x v="7"/>
          </reference>
        </references>
      </pivotArea>
    </chartFormat>
    <chartFormat chart="7" format="24">
      <pivotArea type="data" outline="0" fieldPosition="0">
        <references count="2">
          <reference field="4294967294" count="1" selected="0">
            <x v="0"/>
          </reference>
          <reference field="5" count="1" selected="0">
            <x v="8"/>
          </reference>
        </references>
      </pivotArea>
    </chartFormat>
    <chartFormat chart="7" format="25">
      <pivotArea type="data" outline="0" fieldPosition="0">
        <references count="2">
          <reference field="4294967294" count="1" selected="0">
            <x v="0"/>
          </reference>
          <reference field="5" count="1" selected="0">
            <x v="9"/>
          </reference>
        </references>
      </pivotArea>
    </chartFormat>
    <chartFormat chart="7" format="26">
      <pivotArea type="data" outline="0" fieldPosition="0">
        <references count="2">
          <reference field="4294967294" count="1" selected="0">
            <x v="0"/>
          </reference>
          <reference field="5" count="1" selected="0">
            <x v="10"/>
          </reference>
        </references>
      </pivotArea>
    </chartFormat>
    <chartFormat chart="7" format="27">
      <pivotArea type="data" outline="0" fieldPosition="0">
        <references count="2">
          <reference field="4294967294" count="1" selected="0">
            <x v="0"/>
          </reference>
          <reference field="5" count="1" selected="0">
            <x v="11"/>
          </reference>
        </references>
      </pivotArea>
    </chartFormat>
    <chartFormat chart="7" format="28">
      <pivotArea type="data" outline="0" fieldPosition="0">
        <references count="2">
          <reference field="4294967294" count="1" selected="0">
            <x v="0"/>
          </reference>
          <reference field="5" count="1" selected="0">
            <x v="12"/>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 chart="2" format="4">
      <pivotArea type="data" outline="0" fieldPosition="0">
        <references count="2">
          <reference field="4294967294" count="1" selected="0">
            <x v="0"/>
          </reference>
          <reference field="5" count="1" selected="0">
            <x v="4"/>
          </reference>
        </references>
      </pivotArea>
    </chartFormat>
    <chartFormat chart="2" format="5">
      <pivotArea type="data" outline="0" fieldPosition="0">
        <references count="2">
          <reference field="4294967294" count="1" selected="0">
            <x v="0"/>
          </reference>
          <reference field="5" count="1" selected="0">
            <x v="5"/>
          </reference>
        </references>
      </pivotArea>
    </chartFormat>
    <chartFormat chart="2" format="6">
      <pivotArea type="data" outline="0" fieldPosition="0">
        <references count="2">
          <reference field="4294967294" count="1" selected="0">
            <x v="0"/>
          </reference>
          <reference field="5" count="1" selected="0">
            <x v="6"/>
          </reference>
        </references>
      </pivotArea>
    </chartFormat>
    <chartFormat chart="2" format="7">
      <pivotArea type="data" outline="0" fieldPosition="0">
        <references count="2">
          <reference field="4294967294" count="1" selected="0">
            <x v="0"/>
          </reference>
          <reference field="5" count="1" selected="0">
            <x v="7"/>
          </reference>
        </references>
      </pivotArea>
    </chartFormat>
    <chartFormat chart="2" format="8">
      <pivotArea type="data" outline="0" fieldPosition="0">
        <references count="2">
          <reference field="4294967294" count="1" selected="0">
            <x v="0"/>
          </reference>
          <reference field="5" count="1" selected="0">
            <x v="8"/>
          </reference>
        </references>
      </pivotArea>
    </chartFormat>
    <chartFormat chart="2" format="9">
      <pivotArea type="data" outline="0" fieldPosition="0">
        <references count="2">
          <reference field="4294967294" count="1" selected="0">
            <x v="0"/>
          </reference>
          <reference field="5" count="1" selected="0">
            <x v="9"/>
          </reference>
        </references>
      </pivotArea>
    </chartFormat>
    <chartFormat chart="2" format="10">
      <pivotArea type="data" outline="0" fieldPosition="0">
        <references count="2">
          <reference field="4294967294" count="1" selected="0">
            <x v="0"/>
          </reference>
          <reference field="5" count="1" selected="0">
            <x v="10"/>
          </reference>
        </references>
      </pivotArea>
    </chartFormat>
    <chartFormat chart="2" format="11">
      <pivotArea type="data" outline="0" fieldPosition="0">
        <references count="2">
          <reference field="4294967294" count="1" selected="0">
            <x v="0"/>
          </reference>
          <reference field="5" count="1" selected="0">
            <x v="11"/>
          </reference>
        </references>
      </pivotArea>
    </chartFormat>
    <chartFormat chart="2" format="12">
      <pivotArea type="data" outline="0" fieldPosition="0">
        <references count="2">
          <reference field="4294967294" count="1" selected="0">
            <x v="0"/>
          </reference>
          <reference field="5" count="1" selected="0">
            <x v="2"/>
          </reference>
        </references>
      </pivotArea>
    </chartFormat>
    <chartFormat chart="2" format="13">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6" firstHeaderRow="1" firstDataRow="1" firstDataCol="1"/>
  <pivotFields count="21">
    <pivotField showAll="0"/>
    <pivotField numFmtId="14" showAll="0"/>
    <pivotField showAll="0"/>
    <pivotField showAll="0"/>
    <pivotField showAll="0"/>
    <pivotField showAll="0"/>
    <pivotField showAll="0">
      <items count="11">
        <item x="8"/>
        <item x="2"/>
        <item x="7"/>
        <item x="1"/>
        <item x="5"/>
        <item x="3"/>
        <item x="0"/>
        <item x="9"/>
        <item x="6"/>
        <item x="4"/>
        <item t="default"/>
      </items>
    </pivotField>
    <pivotField showAll="0"/>
    <pivotField dataField="1" showAll="0">
      <items count="6">
        <item x="4"/>
        <item x="1"/>
        <item x="0"/>
        <item x="2"/>
        <item x="3"/>
        <item t="default"/>
      </items>
    </pivotField>
    <pivotField showAll="0"/>
    <pivotField showAll="0"/>
    <pivotField axis="axisRow" showAll="0">
      <items count="13">
        <item x="7"/>
        <item x="11"/>
        <item x="5"/>
        <item x="4"/>
        <item x="2"/>
        <item x="6"/>
        <item x="9"/>
        <item x="0"/>
        <item x="8"/>
        <item x="3"/>
        <item x="1"/>
        <item x="10"/>
        <item t="default"/>
      </items>
    </pivotField>
    <pivotField showAll="0">
      <items count="42">
        <item x="17"/>
        <item x="8"/>
        <item x="20"/>
        <item x="11"/>
        <item x="16"/>
        <item x="26"/>
        <item x="2"/>
        <item x="32"/>
        <item x="27"/>
        <item x="14"/>
        <item x="21"/>
        <item x="18"/>
        <item x="25"/>
        <item x="24"/>
        <item x="34"/>
        <item x="29"/>
        <item x="4"/>
        <item x="1"/>
        <item x="39"/>
        <item x="23"/>
        <item x="36"/>
        <item x="30"/>
        <item x="3"/>
        <item x="5"/>
        <item x="0"/>
        <item x="40"/>
        <item x="15"/>
        <item x="10"/>
        <item x="38"/>
        <item x="31"/>
        <item x="22"/>
        <item x="13"/>
        <item x="37"/>
        <item x="7"/>
        <item x="12"/>
        <item x="19"/>
        <item x="6"/>
        <item x="9"/>
        <item x="28"/>
        <item x="35"/>
        <item x="33"/>
        <item t="default"/>
      </items>
    </pivotField>
    <pivotField showAll="0"/>
    <pivotField showAll="0"/>
    <pivotField showAll="0"/>
    <pivotField showAll="0">
      <items count="2">
        <item x="0"/>
        <item t="default"/>
      </items>
    </pivotField>
    <pivotField showAll="0"/>
    <pivotField showAll="0"/>
    <pivotField dragToRow="0" dragToCol="0" dragToPage="0" showAll="0" defaultSubtotal="0"/>
    <pivotField dragToRow="0" dragToCol="0" dragToPage="0" showAll="0" defaultSubtotal="0"/>
  </pivotFields>
  <rowFields count="1">
    <field x="11"/>
  </rowFields>
  <rowItems count="13">
    <i>
      <x/>
    </i>
    <i>
      <x v="1"/>
    </i>
    <i>
      <x v="2"/>
    </i>
    <i>
      <x v="3"/>
    </i>
    <i>
      <x v="4"/>
    </i>
    <i>
      <x v="5"/>
    </i>
    <i>
      <x v="6"/>
    </i>
    <i>
      <x v="7"/>
    </i>
    <i>
      <x v="8"/>
    </i>
    <i>
      <x v="9"/>
    </i>
    <i>
      <x v="10"/>
    </i>
    <i>
      <x v="11"/>
    </i>
    <i t="grand">
      <x/>
    </i>
  </rowItems>
  <colItems count="1">
    <i/>
  </colItems>
  <dataFields count="1">
    <dataField name="Sum of Selling Price" fld="8" baseField="0" baseItem="0"/>
  </dataFields>
  <chartFormats count="4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2" format="4">
      <pivotArea type="data" outline="0" fieldPosition="0">
        <references count="2">
          <reference field="4294967294" count="1" selected="0">
            <x v="0"/>
          </reference>
          <reference field="11" count="1" selected="0">
            <x v="2"/>
          </reference>
        </references>
      </pivotArea>
    </chartFormat>
    <chartFormat chart="2" format="5">
      <pivotArea type="data" outline="0" fieldPosition="0">
        <references count="2">
          <reference field="4294967294" count="1" selected="0">
            <x v="0"/>
          </reference>
          <reference field="11" count="1" selected="0">
            <x v="3"/>
          </reference>
        </references>
      </pivotArea>
    </chartFormat>
    <chartFormat chart="2" format="6">
      <pivotArea type="data" outline="0" fieldPosition="0">
        <references count="2">
          <reference field="4294967294" count="1" selected="0">
            <x v="0"/>
          </reference>
          <reference field="11" count="1" selected="0">
            <x v="4"/>
          </reference>
        </references>
      </pivotArea>
    </chartFormat>
    <chartFormat chart="2" format="7">
      <pivotArea type="data" outline="0" fieldPosition="0">
        <references count="2">
          <reference field="4294967294" count="1" selected="0">
            <x v="0"/>
          </reference>
          <reference field="11" count="1" selected="0">
            <x v="5"/>
          </reference>
        </references>
      </pivotArea>
    </chartFormat>
    <chartFormat chart="2" format="8">
      <pivotArea type="data" outline="0" fieldPosition="0">
        <references count="2">
          <reference field="4294967294" count="1" selected="0">
            <x v="0"/>
          </reference>
          <reference field="11" count="1" selected="0">
            <x v="6"/>
          </reference>
        </references>
      </pivotArea>
    </chartFormat>
    <chartFormat chart="2" format="9">
      <pivotArea type="data" outline="0" fieldPosition="0">
        <references count="2">
          <reference field="4294967294" count="1" selected="0">
            <x v="0"/>
          </reference>
          <reference field="11" count="1" selected="0">
            <x v="7"/>
          </reference>
        </references>
      </pivotArea>
    </chartFormat>
    <chartFormat chart="2" format="10">
      <pivotArea type="data" outline="0" fieldPosition="0">
        <references count="2">
          <reference field="4294967294" count="1" selected="0">
            <x v="0"/>
          </reference>
          <reference field="11" count="1" selected="0">
            <x v="8"/>
          </reference>
        </references>
      </pivotArea>
    </chartFormat>
    <chartFormat chart="2" format="11">
      <pivotArea type="data" outline="0" fieldPosition="0">
        <references count="2">
          <reference field="4294967294" count="1" selected="0">
            <x v="0"/>
          </reference>
          <reference field="11" count="1" selected="0">
            <x v="9"/>
          </reference>
        </references>
      </pivotArea>
    </chartFormat>
    <chartFormat chart="2" format="12">
      <pivotArea type="data" outline="0" fieldPosition="0">
        <references count="2">
          <reference field="4294967294" count="1" selected="0">
            <x v="0"/>
          </reference>
          <reference field="11" count="1" selected="0">
            <x v="10"/>
          </reference>
        </references>
      </pivotArea>
    </chartFormat>
    <chartFormat chart="2" format="13">
      <pivotArea type="data" outline="0" fieldPosition="0">
        <references count="2">
          <reference field="4294967294" count="1" selected="0">
            <x v="0"/>
          </reference>
          <reference field="11" count="1" selected="0">
            <x v="1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1" count="1" selected="0">
            <x v="0"/>
          </reference>
        </references>
      </pivotArea>
    </chartFormat>
    <chartFormat chart="3" format="16">
      <pivotArea type="data" outline="0" fieldPosition="0">
        <references count="2">
          <reference field="4294967294" count="1" selected="0">
            <x v="0"/>
          </reference>
          <reference field="11" count="1" selected="0">
            <x v="1"/>
          </reference>
        </references>
      </pivotArea>
    </chartFormat>
    <chartFormat chart="3" format="17">
      <pivotArea type="data" outline="0" fieldPosition="0">
        <references count="2">
          <reference field="4294967294" count="1" selected="0">
            <x v="0"/>
          </reference>
          <reference field="11" count="1" selected="0">
            <x v="2"/>
          </reference>
        </references>
      </pivotArea>
    </chartFormat>
    <chartFormat chart="3" format="18">
      <pivotArea type="data" outline="0" fieldPosition="0">
        <references count="2">
          <reference field="4294967294" count="1" selected="0">
            <x v="0"/>
          </reference>
          <reference field="11" count="1" selected="0">
            <x v="3"/>
          </reference>
        </references>
      </pivotArea>
    </chartFormat>
    <chartFormat chart="3" format="19">
      <pivotArea type="data" outline="0" fieldPosition="0">
        <references count="2">
          <reference field="4294967294" count="1" selected="0">
            <x v="0"/>
          </reference>
          <reference field="11" count="1" selected="0">
            <x v="4"/>
          </reference>
        </references>
      </pivotArea>
    </chartFormat>
    <chartFormat chart="3" format="20">
      <pivotArea type="data" outline="0" fieldPosition="0">
        <references count="2">
          <reference field="4294967294" count="1" selected="0">
            <x v="0"/>
          </reference>
          <reference field="11" count="1" selected="0">
            <x v="5"/>
          </reference>
        </references>
      </pivotArea>
    </chartFormat>
    <chartFormat chart="3" format="21">
      <pivotArea type="data" outline="0" fieldPosition="0">
        <references count="2">
          <reference field="4294967294" count="1" selected="0">
            <x v="0"/>
          </reference>
          <reference field="11" count="1" selected="0">
            <x v="6"/>
          </reference>
        </references>
      </pivotArea>
    </chartFormat>
    <chartFormat chart="3" format="22">
      <pivotArea type="data" outline="0" fieldPosition="0">
        <references count="2">
          <reference field="4294967294" count="1" selected="0">
            <x v="0"/>
          </reference>
          <reference field="11" count="1" selected="0">
            <x v="7"/>
          </reference>
        </references>
      </pivotArea>
    </chartFormat>
    <chartFormat chart="3" format="23">
      <pivotArea type="data" outline="0" fieldPosition="0">
        <references count="2">
          <reference field="4294967294" count="1" selected="0">
            <x v="0"/>
          </reference>
          <reference field="11" count="1" selected="0">
            <x v="8"/>
          </reference>
        </references>
      </pivotArea>
    </chartFormat>
    <chartFormat chart="3" format="24">
      <pivotArea type="data" outline="0" fieldPosition="0">
        <references count="2">
          <reference field="4294967294" count="1" selected="0">
            <x v="0"/>
          </reference>
          <reference field="11" count="1" selected="0">
            <x v="9"/>
          </reference>
        </references>
      </pivotArea>
    </chartFormat>
    <chartFormat chart="3" format="25">
      <pivotArea type="data" outline="0" fieldPosition="0">
        <references count="2">
          <reference field="4294967294" count="1" selected="0">
            <x v="0"/>
          </reference>
          <reference field="11" count="1" selected="0">
            <x v="10"/>
          </reference>
        </references>
      </pivotArea>
    </chartFormat>
    <chartFormat chart="3" format="26">
      <pivotArea type="data" outline="0" fieldPosition="0">
        <references count="2">
          <reference field="4294967294" count="1" selected="0">
            <x v="0"/>
          </reference>
          <reference field="11" count="1" selected="0">
            <x v="11"/>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1" format="5">
      <pivotArea type="data" outline="0" fieldPosition="0">
        <references count="2">
          <reference field="4294967294" count="1" selected="0">
            <x v="0"/>
          </reference>
          <reference field="11" count="1" selected="0">
            <x v="4"/>
          </reference>
        </references>
      </pivotArea>
    </chartFormat>
    <chartFormat chart="1" format="6">
      <pivotArea type="data" outline="0" fieldPosition="0">
        <references count="2">
          <reference field="4294967294" count="1" selected="0">
            <x v="0"/>
          </reference>
          <reference field="11" count="1" selected="0">
            <x v="5"/>
          </reference>
        </references>
      </pivotArea>
    </chartFormat>
    <chartFormat chart="1" format="7">
      <pivotArea type="data" outline="0" fieldPosition="0">
        <references count="2">
          <reference field="4294967294" count="1" selected="0">
            <x v="0"/>
          </reference>
          <reference field="11" count="1" selected="0">
            <x v="6"/>
          </reference>
        </references>
      </pivotArea>
    </chartFormat>
    <chartFormat chart="1" format="8">
      <pivotArea type="data" outline="0" fieldPosition="0">
        <references count="2">
          <reference field="4294967294" count="1" selected="0">
            <x v="0"/>
          </reference>
          <reference field="11" count="1" selected="0">
            <x v="7"/>
          </reference>
        </references>
      </pivotArea>
    </chartFormat>
    <chartFormat chart="1" format="9">
      <pivotArea type="data" outline="0" fieldPosition="0">
        <references count="2">
          <reference field="4294967294" count="1" selected="0">
            <x v="0"/>
          </reference>
          <reference field="11" count="1" selected="0">
            <x v="8"/>
          </reference>
        </references>
      </pivotArea>
    </chartFormat>
    <chartFormat chart="1" format="10">
      <pivotArea type="data" outline="0" fieldPosition="0">
        <references count="2">
          <reference field="4294967294" count="1" selected="0">
            <x v="0"/>
          </reference>
          <reference field="11" count="1" selected="0">
            <x v="9"/>
          </reference>
        </references>
      </pivotArea>
    </chartFormat>
    <chartFormat chart="1" format="11">
      <pivotArea type="data" outline="0" fieldPosition="0">
        <references count="2">
          <reference field="4294967294" count="1" selected="0">
            <x v="0"/>
          </reference>
          <reference field="11" count="1" selected="0">
            <x v="10"/>
          </reference>
        </references>
      </pivotArea>
    </chartFormat>
    <chartFormat chart="1" format="12">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9" firstHeaderRow="1" firstDataRow="1" firstDataCol="1"/>
  <pivotFields count="17">
    <pivotField showAll="0"/>
    <pivotField numFmtId="14" showAll="0"/>
    <pivotField axis="axisRow" showAll="0">
      <items count="6">
        <item x="2"/>
        <item x="3"/>
        <item x="0"/>
        <item x="1"/>
        <item x="4"/>
        <item t="default"/>
      </items>
    </pivotField>
    <pivotField showAll="0"/>
    <pivotField showAll="0"/>
    <pivotField showAll="0"/>
    <pivotField showAll="0"/>
    <pivotField showAll="0"/>
    <pivotField dataField="1" showAll="0"/>
    <pivotField showAll="0"/>
    <pivotField showAll="0"/>
    <pivotField showAll="0"/>
    <pivotField showAll="0"/>
    <pivotField showAll="0">
      <items count="7">
        <item x="4"/>
        <item x="5"/>
        <item x="3"/>
        <item x="1"/>
        <item x="0"/>
        <item x="2"/>
        <item t="default"/>
      </items>
    </pivotField>
    <pivotField showAll="0">
      <items count="5">
        <item x="3"/>
        <item x="2"/>
        <item x="0"/>
        <item x="1"/>
        <item t="default"/>
      </items>
    </pivotField>
    <pivotField showAll="0"/>
    <pivotField showAll="0"/>
  </pivotFields>
  <rowFields count="1">
    <field x="2"/>
  </rowFields>
  <rowItems count="6">
    <i>
      <x/>
    </i>
    <i>
      <x v="1"/>
    </i>
    <i>
      <x v="2"/>
    </i>
    <i>
      <x v="3"/>
    </i>
    <i>
      <x v="4"/>
    </i>
    <i t="grand">
      <x/>
    </i>
  </rowItems>
  <colItems count="1">
    <i/>
  </colItems>
  <dataFields count="1">
    <dataField name="Sum of Selling Price" fld="8" baseField="0" baseItem="0"/>
  </dataFields>
  <chartFormats count="3">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7">
    <pivotField showAll="0"/>
    <pivotField numFmtId="14"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showAll="0"/>
    <pivotField showAll="0"/>
    <pivotField showAll="0">
      <items count="7">
        <item x="4"/>
        <item x="5"/>
        <item x="3"/>
        <item x="1"/>
        <item x="0"/>
        <item x="2"/>
        <item t="default"/>
      </items>
    </pivotField>
    <pivotField showAll="0">
      <items count="5">
        <item x="3"/>
        <item x="2"/>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6" firstHeaderRow="1" firstDataRow="1" firstDataCol="1"/>
  <pivotFields count="17">
    <pivotField showAll="0"/>
    <pivotField numFmtId="14" showAll="0"/>
    <pivotField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pivotField axis="axisRow" showAll="0">
      <items count="13">
        <item x="7"/>
        <item x="11"/>
        <item x="5"/>
        <item x="4"/>
        <item x="2"/>
        <item x="6"/>
        <item x="9"/>
        <item x="0"/>
        <item x="8"/>
        <item x="3"/>
        <item x="1"/>
        <item x="10"/>
        <item t="default"/>
      </items>
    </pivotField>
    <pivotField showAll="0">
      <items count="7">
        <item x="4"/>
        <item x="5"/>
        <item x="3"/>
        <item x="1"/>
        <item x="0"/>
        <item x="2"/>
        <item t="default"/>
      </items>
    </pivotField>
    <pivotField showAll="0">
      <items count="5">
        <item x="3"/>
        <item x="2"/>
        <item x="0"/>
        <item x="1"/>
        <item t="default"/>
      </items>
    </pivotField>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Profit" fld="11"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C17" firstHeaderRow="0" firstDataRow="1" firstDataCol="1"/>
  <pivotFields count="17">
    <pivotField showAll="0"/>
    <pivotField numFmtId="14" showAll="0"/>
    <pivotField showAll="0">
      <items count="6">
        <item x="2"/>
        <item x="3"/>
        <item x="0"/>
        <item x="1"/>
        <item x="4"/>
        <item t="default"/>
      </items>
    </pivotField>
    <pivotField showAll="0"/>
    <pivotField showAll="0"/>
    <pivotField axis="axisRow" showAll="0">
      <items count="14">
        <item x="3"/>
        <item x="11"/>
        <item x="1"/>
        <item x="0"/>
        <item x="10"/>
        <item x="9"/>
        <item x="6"/>
        <item x="8"/>
        <item x="7"/>
        <item x="2"/>
        <item x="4"/>
        <item x="5"/>
        <item x="12"/>
        <item t="default"/>
      </items>
    </pivotField>
    <pivotField dataField="1" showAll="0"/>
    <pivotField showAll="0"/>
    <pivotField showAll="0">
      <items count="6">
        <item x="4"/>
        <item x="1"/>
        <item x="0"/>
        <item x="2"/>
        <item x="3"/>
        <item t="default"/>
      </items>
    </pivotField>
    <pivotField dataField="1" showAll="0"/>
    <pivotField showAll="0"/>
    <pivotField showAll="0"/>
    <pivotField showAll="0"/>
    <pivotField showAll="0">
      <items count="7">
        <item x="4"/>
        <item x="5"/>
        <item x="3"/>
        <item x="1"/>
        <item x="0"/>
        <item x="2"/>
        <item t="default"/>
      </items>
    </pivotField>
    <pivotField showAll="0">
      <items count="5">
        <item x="3"/>
        <item x="2"/>
        <item x="0"/>
        <item x="1"/>
        <item t="default"/>
      </items>
    </pivotField>
    <pivotField showAll="0"/>
    <pivotField showAll="0"/>
  </pivotFields>
  <rowFields count="1">
    <field x="5"/>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Units Sold" fld="6" baseField="0" baseItem="0"/>
    <dataField name="Sum of Total Cost" fld="9" baseField="0" baseItem="0"/>
  </dataFields>
  <chartFormats count="4">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5" count="1" selected="0">
            <x v="9"/>
          </reference>
        </references>
      </pivotArea>
    </chartFormat>
    <chartFormat chart="0" format="5">
      <pivotArea type="data" outline="0" fieldPosition="0">
        <references count="2">
          <reference field="4294967294" count="1" selected="0">
            <x v="1"/>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
  <location ref="A3:B37" firstHeaderRow="1" firstDataRow="1" firstDataCol="1"/>
  <pivotFields count="21">
    <pivotField showAll="0"/>
    <pivotField axis="axisRow" numFmtId="14" showAll="0">
      <items count="187">
        <item x="91"/>
        <item x="124"/>
        <item x="130"/>
        <item x="139"/>
        <item x="170"/>
        <item x="97"/>
        <item x="117"/>
        <item x="112"/>
        <item x="174"/>
        <item x="147"/>
        <item x="116"/>
        <item x="159"/>
        <item x="26"/>
        <item x="48"/>
        <item x="169"/>
        <item x="171"/>
        <item x="105"/>
        <item x="140"/>
        <item x="100"/>
        <item x="101"/>
        <item x="177"/>
        <item x="11"/>
        <item x="164"/>
        <item x="49"/>
        <item x="156"/>
        <item x="84"/>
        <item x="17"/>
        <item x="141"/>
        <item x="60"/>
        <item x="136"/>
        <item x="126"/>
        <item x="86"/>
        <item x="119"/>
        <item x="42"/>
        <item x="21"/>
        <item x="172"/>
        <item x="71"/>
        <item x="133"/>
        <item x="178"/>
        <item x="110"/>
        <item x="93"/>
        <item x="82"/>
        <item x="68"/>
        <item x="151"/>
        <item x="162"/>
        <item x="58"/>
        <item x="142"/>
        <item x="33"/>
        <item x="183"/>
        <item x="165"/>
        <item x="66"/>
        <item x="45"/>
        <item x="175"/>
        <item x="181"/>
        <item x="135"/>
        <item x="56"/>
        <item x="24"/>
        <item x="109"/>
        <item x="65"/>
        <item x="29"/>
        <item x="46"/>
        <item x="40"/>
        <item x="7"/>
        <item x="52"/>
        <item x="114"/>
        <item x="87"/>
        <item x="103"/>
        <item x="154"/>
        <item x="12"/>
        <item x="38"/>
        <item x="5"/>
        <item x="85"/>
        <item x="148"/>
        <item x="184"/>
        <item x="160"/>
        <item x="121"/>
        <item x="146"/>
        <item x="34"/>
        <item x="106"/>
        <item x="88"/>
        <item x="161"/>
        <item x="168"/>
        <item x="55"/>
        <item x="19"/>
        <item x="79"/>
        <item x="122"/>
        <item x="180"/>
        <item x="63"/>
        <item x="138"/>
        <item x="150"/>
        <item x="10"/>
        <item x="75"/>
        <item x="157"/>
        <item x="158"/>
        <item x="32"/>
        <item x="90"/>
        <item x="36"/>
        <item x="73"/>
        <item x="137"/>
        <item x="6"/>
        <item x="76"/>
        <item x="152"/>
        <item x="51"/>
        <item x="113"/>
        <item x="89"/>
        <item x="25"/>
        <item x="8"/>
        <item x="47"/>
        <item x="50"/>
        <item x="80"/>
        <item x="111"/>
        <item x="14"/>
        <item x="115"/>
        <item x="144"/>
        <item x="96"/>
        <item x="123"/>
        <item x="27"/>
        <item x="54"/>
        <item x="102"/>
        <item x="176"/>
        <item x="9"/>
        <item x="39"/>
        <item x="1"/>
        <item x="94"/>
        <item x="81"/>
        <item x="15"/>
        <item x="78"/>
        <item x="131"/>
        <item x="70"/>
        <item x="129"/>
        <item x="166"/>
        <item x="107"/>
        <item x="179"/>
        <item x="163"/>
        <item x="95"/>
        <item x="167"/>
        <item x="20"/>
        <item x="125"/>
        <item x="41"/>
        <item x="67"/>
        <item x="173"/>
        <item x="143"/>
        <item x="13"/>
        <item x="16"/>
        <item x="0"/>
        <item x="64"/>
        <item x="3"/>
        <item x="98"/>
        <item x="4"/>
        <item x="74"/>
        <item x="108"/>
        <item x="61"/>
        <item x="30"/>
        <item x="37"/>
        <item x="77"/>
        <item x="31"/>
        <item x="59"/>
        <item x="62"/>
        <item x="72"/>
        <item x="43"/>
        <item x="2"/>
        <item x="118"/>
        <item x="185"/>
        <item x="22"/>
        <item x="134"/>
        <item x="57"/>
        <item x="149"/>
        <item x="69"/>
        <item x="28"/>
        <item x="182"/>
        <item x="104"/>
        <item x="18"/>
        <item x="92"/>
        <item x="53"/>
        <item x="23"/>
        <item x="44"/>
        <item x="153"/>
        <item x="145"/>
        <item x="155"/>
        <item x="120"/>
        <item x="128"/>
        <item x="132"/>
        <item x="99"/>
        <item x="127"/>
        <item x="83"/>
        <item x="35"/>
        <item t="default"/>
      </items>
    </pivotField>
    <pivotField showAll="0"/>
    <pivotField showAll="0"/>
    <pivotField showAll="0"/>
    <pivotField showAll="0">
      <items count="13">
        <item x="3"/>
        <item x="11"/>
        <item x="1"/>
        <item x="0"/>
        <item x="10"/>
        <item x="9"/>
        <item x="6"/>
        <item x="8"/>
        <item x="7"/>
        <item x="2"/>
        <item x="4"/>
        <item x="5"/>
        <item t="default"/>
      </items>
    </pivotField>
    <pivotField showAll="0"/>
    <pivotField showAll="0"/>
    <pivotField dataField="1" showAll="0"/>
    <pivotField showAll="0"/>
    <pivotField showAll="0"/>
    <pivotField showAll="0">
      <items count="13">
        <item x="7"/>
        <item x="11"/>
        <item x="5"/>
        <item x="4"/>
        <item x="2"/>
        <item x="6"/>
        <item x="9"/>
        <item x="0"/>
        <item x="8"/>
        <item x="3"/>
        <item x="1"/>
        <item x="10"/>
        <item t="default"/>
      </items>
    </pivotField>
    <pivotField showAll="0"/>
    <pivotField showAll="0"/>
    <pivotField showAll="0">
      <items count="7">
        <item h="1" x="4"/>
        <item h="1" x="5"/>
        <item h="1" x="3"/>
        <item h="1" x="1"/>
        <item h="1" x="0"/>
        <item x="2"/>
        <item t="default"/>
      </items>
    </pivotField>
    <pivotField showAll="0"/>
    <pivotField showAll="0"/>
    <pivotField showAll="0"/>
    <pivotField showAll="0">
      <items count="4">
        <item x="1"/>
        <item x="2"/>
        <item x="0"/>
        <item t="default"/>
      </items>
    </pivotField>
    <pivotField dragToRow="0" dragToCol="0" dragToPage="0" showAll="0" defaultSubtotal="0"/>
    <pivotField dragToRow="0" dragToCol="0" dragToPage="0" showAll="0" defaultSubtotal="0"/>
  </pivotFields>
  <rowFields count="1">
    <field x="1"/>
  </rowFields>
  <rowItems count="34">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Items count="1">
    <i/>
  </colItems>
  <dataFields count="1">
    <dataField name="Sum of Selling Pric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7" firstHeaderRow="0" firstDataRow="1" firstDataCol="1"/>
  <pivotFields count="21">
    <pivotField showAll="0"/>
    <pivotField numFmtId="14" showAll="0"/>
    <pivotField showAll="0"/>
    <pivotField showAll="0"/>
    <pivotField showAll="0"/>
    <pivotField showAll="0"/>
    <pivotField dataField="1" showAll="0">
      <items count="11">
        <item x="8"/>
        <item x="2"/>
        <item x="7"/>
        <item x="1"/>
        <item x="5"/>
        <item x="3"/>
        <item x="0"/>
        <item x="9"/>
        <item x="6"/>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ragToRow="0" dragToCol="0" dragToPage="0" showAll="0" defaultSubtotal="0"/>
    <pivotField dataField="1" dragToRow="0" dragToCol="0" dragToPage="0" showAll="0" defaultSubtotal="0"/>
  </pivotFields>
  <rowFields count="1">
    <field x="18"/>
  </rowFields>
  <rowItems count="4">
    <i>
      <x/>
    </i>
    <i>
      <x v="1"/>
    </i>
    <i>
      <x v="2"/>
    </i>
    <i t="grand">
      <x/>
    </i>
  </rowItems>
  <colFields count="1">
    <field x="-2"/>
  </colFields>
  <colItems count="3">
    <i>
      <x/>
    </i>
    <i i="1">
      <x v="1"/>
    </i>
    <i i="2">
      <x v="2"/>
    </i>
  </colItems>
  <dataFields count="3">
    <dataField name="Sum of Selling Price" fld="8" baseField="0" baseItem="0"/>
    <dataField name="Sum of Units Sold" fld="6" baseField="0" baseItem="0"/>
    <dataField name="Sum of Average Revenue per Order"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
  <location ref="A3:C190" firstHeaderRow="0" firstDataRow="1" firstDataCol="1"/>
  <pivotFields count="21">
    <pivotField showAll="0" sumSubtotal="1"/>
    <pivotField axis="axisRow" numFmtId="14" multipleItemSelectionAllowed="1" showAll="0">
      <items count="187">
        <item x="91"/>
        <item x="124"/>
        <item x="130"/>
        <item x="139"/>
        <item x="170"/>
        <item x="97"/>
        <item x="117"/>
        <item x="112"/>
        <item x="174"/>
        <item x="147"/>
        <item x="116"/>
        <item x="159"/>
        <item x="26"/>
        <item x="48"/>
        <item x="169"/>
        <item x="171"/>
        <item x="105"/>
        <item x="140"/>
        <item x="100"/>
        <item x="101"/>
        <item x="177"/>
        <item x="11"/>
        <item x="164"/>
        <item x="49"/>
        <item x="156"/>
        <item x="84"/>
        <item x="17"/>
        <item x="141"/>
        <item x="60"/>
        <item x="136"/>
        <item x="126"/>
        <item x="86"/>
        <item x="119"/>
        <item x="42"/>
        <item x="21"/>
        <item x="172"/>
        <item x="71"/>
        <item x="133"/>
        <item x="178"/>
        <item x="110"/>
        <item x="93"/>
        <item x="82"/>
        <item x="68"/>
        <item x="151"/>
        <item x="162"/>
        <item x="58"/>
        <item x="142"/>
        <item x="33"/>
        <item x="183"/>
        <item x="165"/>
        <item x="66"/>
        <item x="45"/>
        <item x="175"/>
        <item x="181"/>
        <item x="135"/>
        <item x="56"/>
        <item x="24"/>
        <item x="109"/>
        <item x="65"/>
        <item x="29"/>
        <item x="46"/>
        <item x="40"/>
        <item x="7"/>
        <item x="52"/>
        <item x="114"/>
        <item x="87"/>
        <item x="103"/>
        <item x="154"/>
        <item x="12"/>
        <item x="38"/>
        <item x="5"/>
        <item x="85"/>
        <item x="148"/>
        <item x="184"/>
        <item x="160"/>
        <item x="121"/>
        <item x="146"/>
        <item x="34"/>
        <item x="106"/>
        <item x="88"/>
        <item x="161"/>
        <item x="168"/>
        <item x="55"/>
        <item x="19"/>
        <item x="79"/>
        <item x="122"/>
        <item x="180"/>
        <item x="63"/>
        <item x="138"/>
        <item x="150"/>
        <item x="10"/>
        <item x="75"/>
        <item x="157"/>
        <item x="158"/>
        <item x="32"/>
        <item x="90"/>
        <item x="36"/>
        <item x="73"/>
        <item x="137"/>
        <item x="6"/>
        <item x="76"/>
        <item x="152"/>
        <item x="51"/>
        <item x="113"/>
        <item x="89"/>
        <item x="25"/>
        <item x="8"/>
        <item x="47"/>
        <item x="50"/>
        <item x="80"/>
        <item x="111"/>
        <item x="14"/>
        <item x="115"/>
        <item x="144"/>
        <item x="96"/>
        <item x="123"/>
        <item x="27"/>
        <item x="54"/>
        <item x="102"/>
        <item x="176"/>
        <item x="9"/>
        <item x="39"/>
        <item x="1"/>
        <item x="94"/>
        <item x="81"/>
        <item x="15"/>
        <item x="78"/>
        <item x="131"/>
        <item x="70"/>
        <item x="129"/>
        <item x="166"/>
        <item x="107"/>
        <item x="179"/>
        <item x="163"/>
        <item x="95"/>
        <item x="167"/>
        <item x="20"/>
        <item x="125"/>
        <item x="41"/>
        <item x="67"/>
        <item x="173"/>
        <item x="143"/>
        <item x="13"/>
        <item x="16"/>
        <item x="0"/>
        <item x="64"/>
        <item x="3"/>
        <item x="98"/>
        <item x="4"/>
        <item x="74"/>
        <item x="108"/>
        <item x="61"/>
        <item x="30"/>
        <item x="37"/>
        <item x="77"/>
        <item x="31"/>
        <item x="59"/>
        <item x="62"/>
        <item x="72"/>
        <item x="43"/>
        <item x="2"/>
        <item x="118"/>
        <item x="185"/>
        <item x="22"/>
        <item x="134"/>
        <item x="57"/>
        <item x="149"/>
        <item x="69"/>
        <item x="28"/>
        <item x="182"/>
        <item x="104"/>
        <item x="18"/>
        <item x="92"/>
        <item x="53"/>
        <item x="23"/>
        <item x="44"/>
        <item x="153"/>
        <item x="145"/>
        <item x="155"/>
        <item x="120"/>
        <item x="128"/>
        <item x="132"/>
        <item x="99"/>
        <item x="127"/>
        <item x="83"/>
        <item x="35"/>
        <item t="default"/>
      </items>
    </pivotField>
    <pivotField showAll="0"/>
    <pivotField showAll="0"/>
    <pivotField showAll="0"/>
    <pivotField showAll="0">
      <items count="13">
        <item x="3"/>
        <item x="11"/>
        <item x="1"/>
        <item x="0"/>
        <item x="10"/>
        <item x="9"/>
        <item x="6"/>
        <item x="8"/>
        <item x="7"/>
        <item x="2"/>
        <item x="4"/>
        <item x="5"/>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1"/>
        <item x="2"/>
        <item x="0"/>
        <item t="default"/>
      </items>
    </pivotField>
    <pivotField dragToRow="0" dragToCol="0" dragToPage="0" showAll="0" defaultSubtotal="0"/>
    <pivotField dragToRow="0" dragToCol="0" dragToPage="0" showAll="0" defaultSubtotal="0"/>
  </pivotFields>
  <rowFields count="1">
    <field x="1"/>
  </rowFields>
  <rowItems count="1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t="grand">
      <x/>
    </i>
  </rowItems>
  <colFields count="1">
    <field x="-2"/>
  </colFields>
  <colItems count="2">
    <i>
      <x/>
    </i>
    <i i="1">
      <x v="1"/>
    </i>
  </colItems>
  <dataFields count="2">
    <dataField name="Sum of Total Cost" fld="9" baseField="0" baseItem="0"/>
    <dataField name="Count of Units Sold" fld="6"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
  <location ref="A3:B16" firstHeaderRow="1" firstDataRow="1" firstDataCol="1"/>
  <pivotFields count="21">
    <pivotField showAll="0"/>
    <pivotField numFmtId="14" showAll="0">
      <items count="187">
        <item x="91"/>
        <item x="124"/>
        <item x="130"/>
        <item x="139"/>
        <item x="170"/>
        <item x="97"/>
        <item x="117"/>
        <item x="112"/>
        <item x="174"/>
        <item x="147"/>
        <item x="116"/>
        <item x="159"/>
        <item x="26"/>
        <item x="48"/>
        <item x="169"/>
        <item x="171"/>
        <item x="105"/>
        <item x="140"/>
        <item x="100"/>
        <item x="101"/>
        <item x="177"/>
        <item x="11"/>
        <item x="164"/>
        <item x="49"/>
        <item x="156"/>
        <item x="84"/>
        <item x="17"/>
        <item x="141"/>
        <item x="60"/>
        <item x="136"/>
        <item x="126"/>
        <item x="86"/>
        <item x="119"/>
        <item x="42"/>
        <item x="21"/>
        <item x="172"/>
        <item x="71"/>
        <item x="133"/>
        <item x="178"/>
        <item x="110"/>
        <item x="93"/>
        <item x="82"/>
        <item x="68"/>
        <item x="151"/>
        <item x="162"/>
        <item x="58"/>
        <item x="142"/>
        <item x="33"/>
        <item x="183"/>
        <item x="165"/>
        <item x="66"/>
        <item x="45"/>
        <item x="175"/>
        <item x="181"/>
        <item x="135"/>
        <item x="56"/>
        <item x="24"/>
        <item x="109"/>
        <item x="65"/>
        <item x="29"/>
        <item x="46"/>
        <item x="40"/>
        <item x="7"/>
        <item x="52"/>
        <item x="114"/>
        <item x="87"/>
        <item x="103"/>
        <item x="154"/>
        <item x="12"/>
        <item x="38"/>
        <item x="5"/>
        <item x="85"/>
        <item x="148"/>
        <item x="184"/>
        <item x="160"/>
        <item x="121"/>
        <item x="146"/>
        <item x="34"/>
        <item x="106"/>
        <item x="88"/>
        <item x="161"/>
        <item x="168"/>
        <item x="55"/>
        <item x="19"/>
        <item x="79"/>
        <item x="122"/>
        <item x="180"/>
        <item x="63"/>
        <item x="138"/>
        <item x="150"/>
        <item x="10"/>
        <item x="75"/>
        <item x="157"/>
        <item x="158"/>
        <item x="32"/>
        <item x="90"/>
        <item x="36"/>
        <item x="73"/>
        <item x="137"/>
        <item x="6"/>
        <item x="76"/>
        <item x="152"/>
        <item x="51"/>
        <item x="113"/>
        <item x="89"/>
        <item x="25"/>
        <item x="8"/>
        <item x="47"/>
        <item x="50"/>
        <item x="80"/>
        <item x="111"/>
        <item x="14"/>
        <item x="115"/>
        <item x="144"/>
        <item x="96"/>
        <item x="123"/>
        <item x="27"/>
        <item x="54"/>
        <item x="102"/>
        <item x="176"/>
        <item x="9"/>
        <item x="39"/>
        <item x="1"/>
        <item x="94"/>
        <item x="81"/>
        <item x="15"/>
        <item x="78"/>
        <item x="131"/>
        <item x="70"/>
        <item x="129"/>
        <item x="166"/>
        <item x="107"/>
        <item x="179"/>
        <item x="163"/>
        <item x="95"/>
        <item x="167"/>
        <item x="20"/>
        <item x="125"/>
        <item x="41"/>
        <item x="67"/>
        <item x="173"/>
        <item x="143"/>
        <item x="13"/>
        <item x="16"/>
        <item x="0"/>
        <item x="64"/>
        <item x="3"/>
        <item x="98"/>
        <item x="4"/>
        <item x="74"/>
        <item x="108"/>
        <item x="61"/>
        <item x="30"/>
        <item x="37"/>
        <item x="77"/>
        <item x="31"/>
        <item x="59"/>
        <item x="62"/>
        <item x="72"/>
        <item x="43"/>
        <item x="2"/>
        <item x="118"/>
        <item x="185"/>
        <item x="22"/>
        <item x="134"/>
        <item x="57"/>
        <item x="149"/>
        <item x="69"/>
        <item x="28"/>
        <item x="182"/>
        <item x="104"/>
        <item x="18"/>
        <item x="92"/>
        <item x="53"/>
        <item x="23"/>
        <item x="44"/>
        <item x="153"/>
        <item x="145"/>
        <item x="155"/>
        <item x="120"/>
        <item x="128"/>
        <item x="132"/>
        <item x="99"/>
        <item x="127"/>
        <item x="83"/>
        <item x="35"/>
        <item t="default"/>
      </items>
    </pivotField>
    <pivotField showAll="0"/>
    <pivotField showAll="0"/>
    <pivotField showAll="0"/>
    <pivotField axis="axisRow" showAll="0">
      <items count="13">
        <item x="3"/>
        <item x="11"/>
        <item x="1"/>
        <item x="0"/>
        <item x="10"/>
        <item x="9"/>
        <item x="6"/>
        <item x="8"/>
        <item x="7"/>
        <item x="2"/>
        <item x="4"/>
        <item x="5"/>
        <item t="default"/>
      </items>
    </pivotField>
    <pivotField showAll="0"/>
    <pivotField showAll="0"/>
    <pivotField dataField="1" showAll="0"/>
    <pivotField showAll="0"/>
    <pivotField showAll="0"/>
    <pivotField showAll="0">
      <items count="13">
        <item x="7"/>
        <item x="11"/>
        <item x="5"/>
        <item x="4"/>
        <item x="2"/>
        <item x="6"/>
        <item x="9"/>
        <item x="0"/>
        <item x="8"/>
        <item x="3"/>
        <item x="1"/>
        <item x="10"/>
        <item t="default"/>
      </items>
    </pivotField>
    <pivotField showAll="0"/>
    <pivotField showAll="0"/>
    <pivotField showAll="0">
      <items count="7">
        <item x="4"/>
        <item x="5"/>
        <item x="3"/>
        <item x="1"/>
        <item x="0"/>
        <item x="2"/>
        <item t="default"/>
      </items>
    </pivotField>
    <pivotField showAll="0"/>
    <pivotField showAll="0"/>
    <pivotField showAll="0"/>
    <pivotField showAll="0">
      <items count="4">
        <item x="1"/>
        <item x="2"/>
        <item x="0"/>
        <item t="default"/>
      </items>
    </pivotField>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Sum of Selling Pric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3:B7" firstHeaderRow="1" firstDataRow="1" firstDataCol="1"/>
  <pivotFields count="21">
    <pivotField showAll="0"/>
    <pivotField numFmtId="14" showAll="0">
      <items count="187">
        <item x="91"/>
        <item x="124"/>
        <item x="130"/>
        <item x="139"/>
        <item x="170"/>
        <item x="97"/>
        <item x="117"/>
        <item x="112"/>
        <item x="174"/>
        <item x="147"/>
        <item x="116"/>
        <item x="159"/>
        <item x="26"/>
        <item x="48"/>
        <item x="169"/>
        <item x="171"/>
        <item x="105"/>
        <item x="140"/>
        <item x="100"/>
        <item x="101"/>
        <item x="177"/>
        <item x="11"/>
        <item x="164"/>
        <item x="49"/>
        <item x="156"/>
        <item x="84"/>
        <item x="17"/>
        <item x="141"/>
        <item x="60"/>
        <item x="136"/>
        <item x="126"/>
        <item x="86"/>
        <item x="119"/>
        <item x="42"/>
        <item x="21"/>
        <item x="172"/>
        <item x="71"/>
        <item x="133"/>
        <item x="178"/>
        <item x="110"/>
        <item x="93"/>
        <item x="82"/>
        <item x="68"/>
        <item x="151"/>
        <item x="162"/>
        <item x="58"/>
        <item x="142"/>
        <item x="33"/>
        <item x="183"/>
        <item x="165"/>
        <item x="66"/>
        <item x="45"/>
        <item x="175"/>
        <item x="181"/>
        <item x="135"/>
        <item x="56"/>
        <item x="24"/>
        <item x="109"/>
        <item x="65"/>
        <item x="29"/>
        <item x="46"/>
        <item x="40"/>
        <item x="7"/>
        <item x="52"/>
        <item x="114"/>
        <item x="87"/>
        <item x="103"/>
        <item x="154"/>
        <item x="12"/>
        <item x="38"/>
        <item x="5"/>
        <item x="85"/>
        <item x="148"/>
        <item x="184"/>
        <item x="160"/>
        <item x="121"/>
        <item x="146"/>
        <item x="34"/>
        <item x="106"/>
        <item x="88"/>
        <item x="161"/>
        <item x="168"/>
        <item x="55"/>
        <item x="19"/>
        <item x="79"/>
        <item x="122"/>
        <item x="180"/>
        <item x="63"/>
        <item x="138"/>
        <item x="150"/>
        <item x="10"/>
        <item x="75"/>
        <item x="157"/>
        <item x="158"/>
        <item x="32"/>
        <item x="90"/>
        <item x="36"/>
        <item x="73"/>
        <item x="137"/>
        <item x="6"/>
        <item x="76"/>
        <item x="152"/>
        <item x="51"/>
        <item x="113"/>
        <item x="89"/>
        <item x="25"/>
        <item x="8"/>
        <item x="47"/>
        <item x="50"/>
        <item x="80"/>
        <item x="111"/>
        <item x="14"/>
        <item x="115"/>
        <item x="144"/>
        <item x="96"/>
        <item x="123"/>
        <item x="27"/>
        <item x="54"/>
        <item x="102"/>
        <item x="176"/>
        <item x="9"/>
        <item x="39"/>
        <item x="1"/>
        <item x="94"/>
        <item x="81"/>
        <item x="15"/>
        <item x="78"/>
        <item x="131"/>
        <item x="70"/>
        <item x="129"/>
        <item x="166"/>
        <item x="107"/>
        <item x="179"/>
        <item x="163"/>
        <item x="95"/>
        <item x="167"/>
        <item x="20"/>
        <item x="125"/>
        <item x="41"/>
        <item x="67"/>
        <item x="173"/>
        <item x="143"/>
        <item x="13"/>
        <item x="16"/>
        <item x="0"/>
        <item x="64"/>
        <item x="3"/>
        <item x="98"/>
        <item x="4"/>
        <item x="74"/>
        <item x="108"/>
        <item x="61"/>
        <item x="30"/>
        <item x="37"/>
        <item x="77"/>
        <item x="31"/>
        <item x="59"/>
        <item x="62"/>
        <item x="72"/>
        <item x="43"/>
        <item x="2"/>
        <item x="118"/>
        <item x="185"/>
        <item x="22"/>
        <item x="134"/>
        <item x="57"/>
        <item x="149"/>
        <item x="69"/>
        <item x="28"/>
        <item x="182"/>
        <item x="104"/>
        <item x="18"/>
        <item x="92"/>
        <item x="53"/>
        <item x="23"/>
        <item x="44"/>
        <item x="153"/>
        <item x="145"/>
        <item x="155"/>
        <item x="120"/>
        <item x="128"/>
        <item x="132"/>
        <item x="99"/>
        <item x="127"/>
        <item x="83"/>
        <item x="35"/>
        <item t="default"/>
      </items>
    </pivotField>
    <pivotField showAll="0"/>
    <pivotField showAll="0"/>
    <pivotField showAll="0"/>
    <pivotField showAll="0">
      <items count="13">
        <item x="3"/>
        <item x="11"/>
        <item x="1"/>
        <item x="0"/>
        <item x="10"/>
        <item x="9"/>
        <item x="6"/>
        <item x="8"/>
        <item x="7"/>
        <item x="2"/>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ragToRow="0" dragToCol="0" dragToPage="0" showAll="0" defaultSubtotal="0"/>
    <pivotField dragToRow="0" dragToCol="0" dragToPage="0" showAll="0" defaultSubtotal="0"/>
  </pivotFields>
  <rowFields count="1">
    <field x="18"/>
  </rowFields>
  <rowItems count="4">
    <i>
      <x/>
    </i>
    <i>
      <x v="1"/>
    </i>
    <i>
      <x v="2"/>
    </i>
    <i t="grand">
      <x/>
    </i>
  </rowItems>
  <colItems count="1">
    <i/>
  </colItems>
  <dataFields count="1">
    <dataField name="Sum of Units Sold" fld="6"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8" count="1" selected="0">
            <x v="0"/>
          </reference>
        </references>
      </pivotArea>
    </chartFormat>
    <chartFormat chart="2" format="3">
      <pivotArea type="data" outline="0" fieldPosition="0">
        <references count="2">
          <reference field="4294967294" count="1" selected="0">
            <x v="0"/>
          </reference>
          <reference field="18" count="1" selected="0">
            <x v="1"/>
          </reference>
        </references>
      </pivotArea>
    </chartFormat>
    <chartFormat chart="2" format="4">
      <pivotArea type="data" outline="0" fieldPosition="0">
        <references count="2">
          <reference field="4294967294" count="1" selected="0">
            <x v="0"/>
          </reference>
          <reference field="18"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 tabId="4" name="PivotTable2"/>
    <pivotTable tabId="5" name="PivotTable1"/>
    <pivotTable tabId="12" name="PivotTable1"/>
    <pivotTable tabId="8" name="PivotTable2"/>
    <pivotTable tabId="10" name="PivotTable3"/>
  </pivotTables>
  <data>
    <tabular pivotCacheId="1">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2"/>
    <pivotTable tabId="6" name="PivotTable1"/>
    <pivotTable tabId="4" name="PivotTable2"/>
    <pivotTable tabId="5" name="PivotTable1"/>
    <pivotTable tabId="12" name="PivotTable1"/>
    <pivotTable tabId="10" name="PivotTable3"/>
  </pivotTables>
  <data>
    <tabular pivotCacheId="1">
      <items count="6">
        <i x="4" s="1"/>
        <i x="5"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8" name="PivotTable2"/>
    <pivotTable tabId="6" name="PivotTable1"/>
    <pivotTable tabId="4" name="PivotTable2"/>
    <pivotTable tabId="5" name="PivotTable1"/>
    <pivotTable tabId="12" name="PivotTable1"/>
    <pivotTable tabId="10" name="PivotTable3"/>
  </pivotTables>
  <data>
    <tabular pivotCacheId="1">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8" name="PivotTable7"/>
    <pivotTable tabId="17" name="PivotTable6"/>
    <pivotTable tabId="19" name="PivotTable8"/>
    <pivotTable tabId="21" name="PivotTable10"/>
  </pivotTables>
  <data>
    <tabular pivotCacheId="2">
      <items count="12">
        <i x="3" s="1"/>
        <i x="11" s="1"/>
        <i x="1" s="1"/>
        <i x="0" s="1"/>
        <i x="10" s="1"/>
        <i x="9" s="1"/>
        <i x="6" s="1"/>
        <i x="8" s="1"/>
        <i x="7" s="1"/>
        <i x="2"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atues" sourceName="Statues">
  <pivotTables>
    <pivotTable tabId="18" name="PivotTable7"/>
    <pivotTable tabId="17" name="PivotTable6"/>
    <pivotTable tabId="19" name="PivotTable8"/>
    <pivotTable tabId="21" name="PivotTable10"/>
  </pivotTables>
  <data>
    <tabular pivotCacheId="2">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21" name="PivotTable10"/>
  </pivotTables>
  <data>
    <tabular pivotCacheId="2">
      <items count="6">
        <i x="4"/>
        <i x="5"/>
        <i x="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2" cache="Slicer_Region" caption="Region" rowHeight="234950"/>
  <slicer name="year 1" cache="Slicer_year" caption="year" rowHeight="234950"/>
  <slicer name="Quarter 1" cache="Slicer_Quarter" caption="Quart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year" cache="Slicer_year" caption="year" rowHeight="234950"/>
  <slicer name="Quarter" cache="Slicer_Quarter" caption="Quarter"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Statues" cache="Slicer_Statues" caption="Statues" rowHeight="234950"/>
  <slicer name="year 2" cache="Slicer_year1"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PivotTable7"/>
    <pivotTable tabId="17" name="PivotTable6"/>
    <pivotTable tabId="19" name="PivotTable8"/>
    <pivotTable tabId="21" name="PivotTable10"/>
  </pivotTables>
  <state minimalRefreshVersion="6" lastRefreshVersion="6" pivotCacheId="2"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0-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3.xml"/><Relationship Id="rId1" Type="http://schemas.openxmlformats.org/officeDocument/2006/relationships/pivotTable" Target="../pivotTables/pivotTable12.xml"/><Relationship Id="rId4" Type="http://schemas.microsoft.com/office/2011/relationships/timeline" Target="../timelines/timelin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2"/>
  <sheetViews>
    <sheetView workbookViewId="0">
      <pane ySplit="1" topLeftCell="A169" activePane="bottomLeft" state="frozen"/>
      <selection pane="bottomLeft" activeCell="E193" sqref="E193"/>
    </sheetView>
  </sheetViews>
  <sheetFormatPr defaultRowHeight="14.4" x14ac:dyDescent="0.3"/>
  <cols>
    <col min="1" max="1" width="8.21875" bestFit="1" customWidth="1"/>
    <col min="2" max="2" width="10.33203125" customWidth="1"/>
    <col min="3" max="3" width="6.77734375" bestFit="1" customWidth="1"/>
    <col min="4" max="4" width="15.77734375" customWidth="1"/>
    <col min="5" max="5" width="10.33203125" customWidth="1"/>
    <col min="6" max="6" width="12.6640625" customWidth="1"/>
    <col min="7" max="7" width="9.44140625" customWidth="1"/>
    <col min="8" max="8" width="11.88671875" customWidth="1"/>
    <col min="9" max="9" width="11" bestFit="1" customWidth="1"/>
    <col min="10" max="10" width="9.33203125" bestFit="1" customWidth="1"/>
    <col min="11" max="11" width="8.33203125" customWidth="1"/>
    <col min="12" max="12" width="6.77734375" customWidth="1"/>
    <col min="13" max="13" width="7" bestFit="1" customWidth="1"/>
    <col min="14" max="14" width="6.77734375" customWidth="1"/>
    <col min="15" max="15" width="5" customWidth="1"/>
    <col min="16" max="16" width="7.44140625" customWidth="1"/>
    <col min="17" max="17" width="11.33203125" customWidth="1"/>
    <col min="18" max="18" width="13.88671875" customWidth="1"/>
    <col min="19" max="19" width="10.109375" customWidth="1"/>
    <col min="20" max="20" width="6.109375" customWidth="1"/>
  </cols>
  <sheetData>
    <row r="1" spans="1:19" x14ac:dyDescent="0.3">
      <c r="A1" s="27" t="s">
        <v>0</v>
      </c>
      <c r="B1" s="27" t="s">
        <v>1</v>
      </c>
      <c r="C1" s="27" t="s">
        <v>2</v>
      </c>
      <c r="D1" s="27" t="s">
        <v>13</v>
      </c>
      <c r="E1" s="27" t="s">
        <v>3</v>
      </c>
      <c r="F1" s="27" t="s">
        <v>4</v>
      </c>
      <c r="G1" s="27" t="s">
        <v>218</v>
      </c>
      <c r="H1" s="27" t="s">
        <v>219</v>
      </c>
      <c r="I1" s="27" t="s">
        <v>5</v>
      </c>
      <c r="J1" s="27" t="s">
        <v>6</v>
      </c>
      <c r="K1" s="27" t="s">
        <v>7</v>
      </c>
      <c r="L1" s="27" t="s">
        <v>220</v>
      </c>
      <c r="M1" s="27" t="s">
        <v>8</v>
      </c>
      <c r="N1" s="27" t="s">
        <v>220</v>
      </c>
      <c r="O1" s="27" t="s">
        <v>221</v>
      </c>
      <c r="P1" s="27" t="s">
        <v>222</v>
      </c>
      <c r="Q1" s="27" t="s">
        <v>223</v>
      </c>
      <c r="R1" s="27" t="s">
        <v>224</v>
      </c>
      <c r="S1" s="27" t="s">
        <v>442</v>
      </c>
    </row>
    <row r="2" spans="1:19" x14ac:dyDescent="0.3">
      <c r="A2" s="4" t="s">
        <v>225</v>
      </c>
      <c r="B2" s="5">
        <v>45535</v>
      </c>
      <c r="C2" s="4" t="s">
        <v>9</v>
      </c>
      <c r="D2" s="4" t="s">
        <v>14</v>
      </c>
      <c r="E2" s="4" t="s">
        <v>186</v>
      </c>
      <c r="F2" s="6" t="s">
        <v>207</v>
      </c>
      <c r="G2" s="4">
        <v>7</v>
      </c>
      <c r="H2" s="4">
        <v>12000</v>
      </c>
      <c r="I2" s="4">
        <v>18000</v>
      </c>
      <c r="J2" s="4">
        <f>H2*G2</f>
        <v>84000</v>
      </c>
      <c r="K2" s="4">
        <f>G2*I2</f>
        <v>126000</v>
      </c>
      <c r="L2" s="4">
        <f>MONTH(B:B)</f>
        <v>8</v>
      </c>
      <c r="M2" s="4">
        <f>K2-J2</f>
        <v>42000</v>
      </c>
      <c r="N2" s="6">
        <f t="shared" ref="N2:N33" si="0">MONTH(B:B)</f>
        <v>8</v>
      </c>
      <c r="O2" s="6">
        <f t="shared" ref="O2:O33" si="1">YEAR(B:B)</f>
        <v>2024</v>
      </c>
      <c r="P2" s="6" t="str">
        <f t="shared" ref="P2:P33" si="2">"Q"&amp;ROUNDUP(MONTH(B:B)/3,0)</f>
        <v>Q3</v>
      </c>
      <c r="Q2" s="6" t="str">
        <f>IF(M2&gt;0,"Profit",IF(M2=0,"Break Even"))</f>
        <v>Profit</v>
      </c>
      <c r="R2" s="6" t="str">
        <f t="shared" ref="R2:R47" si="3">IF(K3&gt;50000,"Top Seller","Normal")</f>
        <v>Top Seller</v>
      </c>
      <c r="S2" t="str">
        <f t="shared" ref="S2" si="4">IF(G2&lt;=2,"Cancelled",IF(G2=10,"Completed","Pending"))</f>
        <v>Pending</v>
      </c>
    </row>
    <row r="3" spans="1:19" x14ac:dyDescent="0.3">
      <c r="A3" s="4" t="s">
        <v>226</v>
      </c>
      <c r="B3" s="5">
        <v>45251</v>
      </c>
      <c r="C3" s="4" t="s">
        <v>11</v>
      </c>
      <c r="D3" s="4" t="s">
        <v>15</v>
      </c>
      <c r="E3" s="4" t="s">
        <v>193</v>
      </c>
      <c r="F3" s="6" t="s">
        <v>208</v>
      </c>
      <c r="G3" s="4">
        <v>4</v>
      </c>
      <c r="H3" s="4">
        <v>12000</v>
      </c>
      <c r="I3" s="4">
        <v>18000</v>
      </c>
      <c r="J3" s="4">
        <f t="shared" ref="J3:J66" si="5">H3*G3</f>
        <v>48000</v>
      </c>
      <c r="K3" s="4">
        <f t="shared" ref="K3:K66" si="6">G3*I3</f>
        <v>72000</v>
      </c>
      <c r="L3" s="4">
        <f t="shared" ref="L3:L66" si="7">MONTH(B:B)</f>
        <v>11</v>
      </c>
      <c r="M3" s="4">
        <f t="shared" ref="M3:M66" si="8">K3-J3</f>
        <v>24000</v>
      </c>
      <c r="N3" s="6">
        <f t="shared" si="0"/>
        <v>11</v>
      </c>
      <c r="O3" s="6">
        <f t="shared" si="1"/>
        <v>2023</v>
      </c>
      <c r="P3" s="6" t="str">
        <f t="shared" si="2"/>
        <v>Q4</v>
      </c>
      <c r="Q3" s="6" t="str">
        <f t="shared" ref="Q3:Q66" si="9">IF(M3&gt;0,"Profit",IF(M3=0,"Break Even"))</f>
        <v>Profit</v>
      </c>
      <c r="R3" s="6" t="str">
        <f t="shared" si="3"/>
        <v>Normal</v>
      </c>
      <c r="S3" t="str">
        <f>IF(G3&lt;=2,"Cancelled",IF(G3=10,"Completed","Pending"))</f>
        <v>Pending</v>
      </c>
    </row>
    <row r="4" spans="1:19" x14ac:dyDescent="0.3">
      <c r="A4" s="4" t="s">
        <v>227</v>
      </c>
      <c r="B4" s="5">
        <v>45781</v>
      </c>
      <c r="C4" s="4" t="s">
        <v>12</v>
      </c>
      <c r="D4" s="4" t="s">
        <v>16</v>
      </c>
      <c r="E4" s="4" t="s">
        <v>194</v>
      </c>
      <c r="F4" s="6" t="s">
        <v>209</v>
      </c>
      <c r="G4" s="4">
        <v>2</v>
      </c>
      <c r="H4" s="4">
        <v>6000</v>
      </c>
      <c r="I4" s="4">
        <v>10000</v>
      </c>
      <c r="J4" s="4">
        <f t="shared" si="5"/>
        <v>12000</v>
      </c>
      <c r="K4" s="4">
        <f t="shared" si="6"/>
        <v>20000</v>
      </c>
      <c r="L4" s="4">
        <f t="shared" si="7"/>
        <v>5</v>
      </c>
      <c r="M4" s="4">
        <f t="shared" si="8"/>
        <v>8000</v>
      </c>
      <c r="N4" s="6">
        <f t="shared" si="0"/>
        <v>5</v>
      </c>
      <c r="O4" s="6">
        <f t="shared" si="1"/>
        <v>2025</v>
      </c>
      <c r="P4" s="6" t="str">
        <f t="shared" si="2"/>
        <v>Q2</v>
      </c>
      <c r="Q4" s="6" t="str">
        <f t="shared" si="9"/>
        <v>Profit</v>
      </c>
      <c r="R4" s="6" t="str">
        <f t="shared" si="3"/>
        <v>Top Seller</v>
      </c>
      <c r="S4" t="str">
        <f t="shared" ref="S4:S67" si="10">IF(G4&lt;=2,"Cancelled",IF(G4=10,"Completed","Pending"))</f>
        <v>Cancelled</v>
      </c>
    </row>
    <row r="5" spans="1:19" x14ac:dyDescent="0.3">
      <c r="A5" s="4" t="s">
        <v>228</v>
      </c>
      <c r="B5" s="5">
        <v>45596</v>
      </c>
      <c r="C5" s="4" t="s">
        <v>10</v>
      </c>
      <c r="D5" s="4" t="s">
        <v>17</v>
      </c>
      <c r="E5" s="4" t="s">
        <v>191</v>
      </c>
      <c r="F5" s="6" t="s">
        <v>208</v>
      </c>
      <c r="G5" s="4">
        <v>6</v>
      </c>
      <c r="H5" s="4">
        <v>12000</v>
      </c>
      <c r="I5" s="4">
        <v>18000</v>
      </c>
      <c r="J5" s="4">
        <f t="shared" si="5"/>
        <v>72000</v>
      </c>
      <c r="K5" s="4">
        <f t="shared" si="6"/>
        <v>108000</v>
      </c>
      <c r="L5" s="4">
        <f t="shared" si="7"/>
        <v>10</v>
      </c>
      <c r="M5" s="4">
        <f t="shared" si="8"/>
        <v>36000</v>
      </c>
      <c r="N5" s="6">
        <f t="shared" si="0"/>
        <v>10</v>
      </c>
      <c r="O5" s="6">
        <f t="shared" si="1"/>
        <v>2024</v>
      </c>
      <c r="P5" s="6" t="str">
        <f t="shared" si="2"/>
        <v>Q4</v>
      </c>
      <c r="Q5" s="6" t="str">
        <f t="shared" si="9"/>
        <v>Profit</v>
      </c>
      <c r="R5" s="6" t="str">
        <f t="shared" si="3"/>
        <v>Top Seller</v>
      </c>
      <c r="S5" t="str">
        <f t="shared" si="10"/>
        <v>Pending</v>
      </c>
    </row>
    <row r="6" spans="1:19" x14ac:dyDescent="0.3">
      <c r="A6" s="4" t="s">
        <v>229</v>
      </c>
      <c r="B6" s="5">
        <v>45606</v>
      </c>
      <c r="C6" s="4" t="s">
        <v>12</v>
      </c>
      <c r="D6" s="4" t="s">
        <v>18</v>
      </c>
      <c r="E6" s="4" t="s">
        <v>195</v>
      </c>
      <c r="F6" s="6" t="s">
        <v>210</v>
      </c>
      <c r="G6" s="4">
        <v>2</v>
      </c>
      <c r="H6" s="4">
        <v>20000</v>
      </c>
      <c r="I6" s="4">
        <v>30000</v>
      </c>
      <c r="J6" s="4">
        <f t="shared" si="5"/>
        <v>40000</v>
      </c>
      <c r="K6" s="4">
        <f t="shared" si="6"/>
        <v>60000</v>
      </c>
      <c r="L6" s="4">
        <f t="shared" si="7"/>
        <v>11</v>
      </c>
      <c r="M6" s="4">
        <f t="shared" si="8"/>
        <v>20000</v>
      </c>
      <c r="N6" s="6">
        <f t="shared" si="0"/>
        <v>11</v>
      </c>
      <c r="O6" s="6">
        <f t="shared" si="1"/>
        <v>2024</v>
      </c>
      <c r="P6" s="6" t="str">
        <f t="shared" si="2"/>
        <v>Q4</v>
      </c>
      <c r="Q6" s="6" t="str">
        <f t="shared" si="9"/>
        <v>Profit</v>
      </c>
      <c r="R6" s="6" t="str">
        <f t="shared" si="3"/>
        <v>Top Seller</v>
      </c>
      <c r="S6" t="str">
        <f t="shared" si="10"/>
        <v>Cancelled</v>
      </c>
    </row>
    <row r="7" spans="1:19" x14ac:dyDescent="0.3">
      <c r="A7" s="4" t="s">
        <v>230</v>
      </c>
      <c r="B7" s="5">
        <v>44699</v>
      </c>
      <c r="C7" s="4" t="s">
        <v>9</v>
      </c>
      <c r="D7" s="4" t="s">
        <v>19</v>
      </c>
      <c r="E7" s="4" t="s">
        <v>203</v>
      </c>
      <c r="F7" s="6" t="s">
        <v>209</v>
      </c>
      <c r="G7" s="4">
        <v>4</v>
      </c>
      <c r="H7" s="4">
        <v>12000</v>
      </c>
      <c r="I7" s="4">
        <v>18000</v>
      </c>
      <c r="J7" s="4">
        <f t="shared" si="5"/>
        <v>48000</v>
      </c>
      <c r="K7" s="4">
        <f t="shared" si="6"/>
        <v>72000</v>
      </c>
      <c r="L7" s="4">
        <f t="shared" si="7"/>
        <v>5</v>
      </c>
      <c r="M7" s="4">
        <f t="shared" si="8"/>
        <v>24000</v>
      </c>
      <c r="N7" s="6">
        <f t="shared" si="0"/>
        <v>5</v>
      </c>
      <c r="O7" s="6">
        <f t="shared" si="1"/>
        <v>2022</v>
      </c>
      <c r="P7" s="6" t="str">
        <f t="shared" si="2"/>
        <v>Q2</v>
      </c>
      <c r="Q7" s="6" t="str">
        <f t="shared" si="9"/>
        <v>Profit</v>
      </c>
      <c r="R7" s="6" t="str">
        <f t="shared" si="3"/>
        <v>Top Seller</v>
      </c>
      <c r="S7" t="str">
        <f t="shared" si="10"/>
        <v>Pending</v>
      </c>
    </row>
    <row r="8" spans="1:19" x14ac:dyDescent="0.3">
      <c r="A8" s="4" t="s">
        <v>231</v>
      </c>
      <c r="B8" s="5">
        <v>45041</v>
      </c>
      <c r="C8" s="4" t="s">
        <v>10</v>
      </c>
      <c r="D8" s="4" t="s">
        <v>20</v>
      </c>
      <c r="E8" s="4" t="s">
        <v>191</v>
      </c>
      <c r="F8" s="6" t="s">
        <v>209</v>
      </c>
      <c r="G8" s="4">
        <v>10</v>
      </c>
      <c r="H8" s="4">
        <v>6000</v>
      </c>
      <c r="I8" s="4">
        <v>10000</v>
      </c>
      <c r="J8" s="4">
        <f t="shared" si="5"/>
        <v>60000</v>
      </c>
      <c r="K8" s="4">
        <f t="shared" si="6"/>
        <v>100000</v>
      </c>
      <c r="L8" s="4">
        <f t="shared" si="7"/>
        <v>4</v>
      </c>
      <c r="M8" s="4">
        <f t="shared" si="8"/>
        <v>40000</v>
      </c>
      <c r="N8" s="6">
        <f t="shared" si="0"/>
        <v>4</v>
      </c>
      <c r="O8" s="6">
        <f t="shared" si="1"/>
        <v>2023</v>
      </c>
      <c r="P8" s="6" t="str">
        <f t="shared" si="2"/>
        <v>Q2</v>
      </c>
      <c r="Q8" s="6" t="str">
        <f t="shared" si="9"/>
        <v>Profit</v>
      </c>
      <c r="R8" s="6" t="str">
        <f t="shared" si="3"/>
        <v>Top Seller</v>
      </c>
      <c r="S8" t="str">
        <f t="shared" si="10"/>
        <v>Completed</v>
      </c>
    </row>
    <row r="9" spans="1:19" x14ac:dyDescent="0.3">
      <c r="A9" s="4" t="s">
        <v>232</v>
      </c>
      <c r="B9" s="5">
        <v>44634</v>
      </c>
      <c r="C9" s="4" t="s">
        <v>11</v>
      </c>
      <c r="D9" s="4" t="s">
        <v>21</v>
      </c>
      <c r="E9" s="4" t="s">
        <v>202</v>
      </c>
      <c r="F9" s="6" t="s">
        <v>209</v>
      </c>
      <c r="G9" s="4">
        <v>6</v>
      </c>
      <c r="H9" s="4">
        <v>35000</v>
      </c>
      <c r="I9" s="4">
        <v>52000</v>
      </c>
      <c r="J9" s="4">
        <f t="shared" si="5"/>
        <v>210000</v>
      </c>
      <c r="K9" s="4">
        <f t="shared" si="6"/>
        <v>312000</v>
      </c>
      <c r="L9" s="4">
        <f t="shared" si="7"/>
        <v>3</v>
      </c>
      <c r="M9" s="4">
        <f t="shared" si="8"/>
        <v>102000</v>
      </c>
      <c r="N9" s="6">
        <f t="shared" si="0"/>
        <v>3</v>
      </c>
      <c r="O9" s="6">
        <f t="shared" si="1"/>
        <v>2022</v>
      </c>
      <c r="P9" s="6" t="str">
        <f t="shared" si="2"/>
        <v>Q1</v>
      </c>
      <c r="Q9" s="6" t="str">
        <f t="shared" si="9"/>
        <v>Profit</v>
      </c>
      <c r="R9" s="6" t="str">
        <f t="shared" si="3"/>
        <v>Top Seller</v>
      </c>
      <c r="S9" t="str">
        <f t="shared" si="10"/>
        <v>Pending</v>
      </c>
    </row>
    <row r="10" spans="1:19" x14ac:dyDescent="0.3">
      <c r="A10" s="4" t="s">
        <v>233</v>
      </c>
      <c r="B10" s="5">
        <v>45104</v>
      </c>
      <c r="C10" s="4" t="s">
        <v>11</v>
      </c>
      <c r="D10" s="4" t="s">
        <v>22</v>
      </c>
      <c r="E10" s="4" t="s">
        <v>201</v>
      </c>
      <c r="F10" s="6" t="s">
        <v>211</v>
      </c>
      <c r="G10" s="4">
        <v>5</v>
      </c>
      <c r="H10" s="4">
        <v>35000</v>
      </c>
      <c r="I10" s="4">
        <v>52000</v>
      </c>
      <c r="J10" s="4">
        <f t="shared" si="5"/>
        <v>175000</v>
      </c>
      <c r="K10" s="4">
        <f t="shared" si="6"/>
        <v>260000</v>
      </c>
      <c r="L10" s="4">
        <f t="shared" si="7"/>
        <v>6</v>
      </c>
      <c r="M10" s="4">
        <f t="shared" si="8"/>
        <v>85000</v>
      </c>
      <c r="N10" s="6">
        <f t="shared" si="0"/>
        <v>6</v>
      </c>
      <c r="O10" s="6">
        <f t="shared" si="1"/>
        <v>2023</v>
      </c>
      <c r="P10" s="6" t="str">
        <f t="shared" si="2"/>
        <v>Q2</v>
      </c>
      <c r="Q10" s="6" t="str">
        <f t="shared" si="9"/>
        <v>Profit</v>
      </c>
      <c r="R10" s="6" t="str">
        <f t="shared" si="3"/>
        <v>Normal</v>
      </c>
      <c r="S10" t="str">
        <f t="shared" si="10"/>
        <v>Pending</v>
      </c>
    </row>
    <row r="11" spans="1:19" x14ac:dyDescent="0.3">
      <c r="A11" s="4" t="s">
        <v>234</v>
      </c>
      <c r="B11" s="5">
        <v>45236</v>
      </c>
      <c r="C11" s="4" t="s">
        <v>10</v>
      </c>
      <c r="D11" s="4" t="s">
        <v>23</v>
      </c>
      <c r="E11" s="4" t="s">
        <v>196</v>
      </c>
      <c r="F11" s="6" t="s">
        <v>208</v>
      </c>
      <c r="G11" s="4">
        <v>2</v>
      </c>
      <c r="H11" s="4">
        <v>1500</v>
      </c>
      <c r="I11" s="4">
        <v>3000</v>
      </c>
      <c r="J11" s="4">
        <f t="shared" si="5"/>
        <v>3000</v>
      </c>
      <c r="K11" s="4">
        <f t="shared" si="6"/>
        <v>6000</v>
      </c>
      <c r="L11" s="4">
        <f t="shared" si="7"/>
        <v>11</v>
      </c>
      <c r="M11" s="4">
        <f t="shared" si="8"/>
        <v>3000</v>
      </c>
      <c r="N11" s="6">
        <f t="shared" si="0"/>
        <v>11</v>
      </c>
      <c r="O11" s="6">
        <f t="shared" si="1"/>
        <v>2023</v>
      </c>
      <c r="P11" s="6" t="str">
        <f t="shared" si="2"/>
        <v>Q4</v>
      </c>
      <c r="Q11" s="6" t="str">
        <f t="shared" si="9"/>
        <v>Profit</v>
      </c>
      <c r="R11" s="6" t="str">
        <f t="shared" si="3"/>
        <v>Top Seller</v>
      </c>
      <c r="S11" t="str">
        <f t="shared" si="10"/>
        <v>Cancelled</v>
      </c>
    </row>
    <row r="12" spans="1:19" x14ac:dyDescent="0.3">
      <c r="A12" s="4" t="s">
        <v>235</v>
      </c>
      <c r="B12" s="5">
        <v>44937</v>
      </c>
      <c r="C12" s="4" t="s">
        <v>12</v>
      </c>
      <c r="D12" s="4" t="s">
        <v>24</v>
      </c>
      <c r="E12" s="4" t="s">
        <v>195</v>
      </c>
      <c r="F12" s="6" t="s">
        <v>209</v>
      </c>
      <c r="G12" s="4">
        <v>7</v>
      </c>
      <c r="H12" s="4">
        <v>35000</v>
      </c>
      <c r="I12" s="4">
        <v>52000</v>
      </c>
      <c r="J12" s="4">
        <f t="shared" si="5"/>
        <v>245000</v>
      </c>
      <c r="K12" s="4">
        <f t="shared" si="6"/>
        <v>364000</v>
      </c>
      <c r="L12" s="4">
        <f t="shared" si="7"/>
        <v>1</v>
      </c>
      <c r="M12" s="4">
        <f t="shared" si="8"/>
        <v>119000</v>
      </c>
      <c r="N12" s="6">
        <f t="shared" si="0"/>
        <v>1</v>
      </c>
      <c r="O12" s="6">
        <f t="shared" si="1"/>
        <v>2023</v>
      </c>
      <c r="P12" s="6" t="str">
        <f t="shared" si="2"/>
        <v>Q1</v>
      </c>
      <c r="Q12" s="6" t="str">
        <f t="shared" si="9"/>
        <v>Profit</v>
      </c>
      <c r="R12" s="6" t="str">
        <f t="shared" si="3"/>
        <v>Top Seller</v>
      </c>
      <c r="S12" t="str">
        <f t="shared" si="10"/>
        <v>Pending</v>
      </c>
    </row>
    <row r="13" spans="1:19" x14ac:dyDescent="0.3">
      <c r="A13" s="4" t="s">
        <v>236</v>
      </c>
      <c r="B13" s="5">
        <v>44099</v>
      </c>
      <c r="C13" s="4" t="s">
        <v>10</v>
      </c>
      <c r="D13" s="4" t="s">
        <v>25</v>
      </c>
      <c r="E13" s="4" t="s">
        <v>202</v>
      </c>
      <c r="F13" s="6" t="s">
        <v>212</v>
      </c>
      <c r="G13" s="4">
        <v>9</v>
      </c>
      <c r="H13" s="4">
        <v>6000</v>
      </c>
      <c r="I13" s="4">
        <v>10000</v>
      </c>
      <c r="J13" s="4">
        <f t="shared" si="5"/>
        <v>54000</v>
      </c>
      <c r="K13" s="4">
        <f t="shared" si="6"/>
        <v>90000</v>
      </c>
      <c r="L13" s="4">
        <f t="shared" si="7"/>
        <v>9</v>
      </c>
      <c r="M13" s="4">
        <f t="shared" si="8"/>
        <v>36000</v>
      </c>
      <c r="N13" s="6">
        <f t="shared" si="0"/>
        <v>9</v>
      </c>
      <c r="O13" s="6">
        <f t="shared" si="1"/>
        <v>2020</v>
      </c>
      <c r="P13" s="6" t="str">
        <f t="shared" si="2"/>
        <v>Q3</v>
      </c>
      <c r="Q13" s="6" t="str">
        <f t="shared" si="9"/>
        <v>Profit</v>
      </c>
      <c r="R13" s="6" t="str">
        <f t="shared" si="3"/>
        <v>Top Seller</v>
      </c>
      <c r="S13" t="str">
        <f t="shared" si="10"/>
        <v>Pending</v>
      </c>
    </row>
    <row r="14" spans="1:19" x14ac:dyDescent="0.3">
      <c r="A14" s="4" t="s">
        <v>237</v>
      </c>
      <c r="B14" s="5">
        <v>44689</v>
      </c>
      <c r="C14" s="4" t="s">
        <v>9</v>
      </c>
      <c r="D14" s="4" t="s">
        <v>26</v>
      </c>
      <c r="E14" s="4" t="s">
        <v>188</v>
      </c>
      <c r="F14" s="6" t="s">
        <v>213</v>
      </c>
      <c r="G14" s="4">
        <v>7</v>
      </c>
      <c r="H14" s="4">
        <v>12000</v>
      </c>
      <c r="I14" s="4">
        <v>18000</v>
      </c>
      <c r="J14" s="4">
        <f t="shared" si="5"/>
        <v>84000</v>
      </c>
      <c r="K14" s="4">
        <f t="shared" si="6"/>
        <v>126000</v>
      </c>
      <c r="L14" s="4">
        <f t="shared" si="7"/>
        <v>5</v>
      </c>
      <c r="M14" s="4">
        <f t="shared" si="8"/>
        <v>42000</v>
      </c>
      <c r="N14" s="6">
        <f t="shared" si="0"/>
        <v>5</v>
      </c>
      <c r="O14" s="6">
        <f t="shared" si="1"/>
        <v>2022</v>
      </c>
      <c r="P14" s="6" t="str">
        <f t="shared" si="2"/>
        <v>Q2</v>
      </c>
      <c r="Q14" s="6" t="str">
        <f t="shared" si="9"/>
        <v>Profit</v>
      </c>
      <c r="R14" s="6" t="str">
        <f t="shared" si="3"/>
        <v>Top Seller</v>
      </c>
      <c r="S14" t="str">
        <f t="shared" si="10"/>
        <v>Pending</v>
      </c>
    </row>
    <row r="15" spans="1:19" x14ac:dyDescent="0.3">
      <c r="A15" s="4" t="s">
        <v>238</v>
      </c>
      <c r="B15" s="5">
        <v>45496</v>
      </c>
      <c r="C15" s="4" t="s">
        <v>11</v>
      </c>
      <c r="D15" s="4" t="s">
        <v>27</v>
      </c>
      <c r="E15" s="4" t="s">
        <v>199</v>
      </c>
      <c r="F15" s="6" t="s">
        <v>208</v>
      </c>
      <c r="G15" s="4">
        <v>3</v>
      </c>
      <c r="H15" s="4">
        <v>35000</v>
      </c>
      <c r="I15" s="4">
        <v>52000</v>
      </c>
      <c r="J15" s="4">
        <f t="shared" si="5"/>
        <v>105000</v>
      </c>
      <c r="K15" s="4">
        <f t="shared" si="6"/>
        <v>156000</v>
      </c>
      <c r="L15" s="4">
        <f t="shared" si="7"/>
        <v>7</v>
      </c>
      <c r="M15" s="4">
        <f t="shared" si="8"/>
        <v>51000</v>
      </c>
      <c r="N15" s="6">
        <f t="shared" si="0"/>
        <v>7</v>
      </c>
      <c r="O15" s="6">
        <f t="shared" si="1"/>
        <v>2024</v>
      </c>
      <c r="P15" s="6" t="str">
        <f t="shared" si="2"/>
        <v>Q3</v>
      </c>
      <c r="Q15" s="6" t="str">
        <f t="shared" si="9"/>
        <v>Profit</v>
      </c>
      <c r="R15" s="6" t="str">
        <f t="shared" si="3"/>
        <v>Normal</v>
      </c>
      <c r="S15" t="str">
        <f t="shared" si="10"/>
        <v>Pending</v>
      </c>
    </row>
    <row r="16" spans="1:19" x14ac:dyDescent="0.3">
      <c r="A16" s="4" t="s">
        <v>239</v>
      </c>
      <c r="B16" s="5">
        <v>45150</v>
      </c>
      <c r="C16" s="4" t="s">
        <v>11</v>
      </c>
      <c r="D16" s="4" t="s">
        <v>28</v>
      </c>
      <c r="E16" s="4" t="s">
        <v>194</v>
      </c>
      <c r="F16" s="6" t="s">
        <v>208</v>
      </c>
      <c r="G16" s="4">
        <v>3</v>
      </c>
      <c r="H16" s="4">
        <v>1500</v>
      </c>
      <c r="I16" s="4">
        <v>3000</v>
      </c>
      <c r="J16" s="4">
        <f t="shared" si="5"/>
        <v>4500</v>
      </c>
      <c r="K16" s="4">
        <f t="shared" si="6"/>
        <v>9000</v>
      </c>
      <c r="L16" s="4">
        <f t="shared" si="7"/>
        <v>8</v>
      </c>
      <c r="M16" s="4">
        <f t="shared" si="8"/>
        <v>4500</v>
      </c>
      <c r="N16" s="6">
        <f t="shared" si="0"/>
        <v>8</v>
      </c>
      <c r="O16" s="6">
        <f t="shared" si="1"/>
        <v>2023</v>
      </c>
      <c r="P16" s="6" t="str">
        <f t="shared" si="2"/>
        <v>Q3</v>
      </c>
      <c r="Q16" s="6" t="str">
        <f t="shared" si="9"/>
        <v>Profit</v>
      </c>
      <c r="R16" s="6" t="str">
        <f t="shared" si="3"/>
        <v>Top Seller</v>
      </c>
      <c r="S16" t="str">
        <f t="shared" si="10"/>
        <v>Pending</v>
      </c>
    </row>
    <row r="17" spans="1:19" x14ac:dyDescent="0.3">
      <c r="A17" s="4" t="s">
        <v>240</v>
      </c>
      <c r="B17" s="5">
        <v>45301</v>
      </c>
      <c r="C17" s="4" t="s">
        <v>11</v>
      </c>
      <c r="D17" s="4" t="s">
        <v>29</v>
      </c>
      <c r="E17" s="4" t="s">
        <v>195</v>
      </c>
      <c r="F17" s="6" t="s">
        <v>211</v>
      </c>
      <c r="G17" s="4">
        <v>9</v>
      </c>
      <c r="H17" s="4">
        <v>20000</v>
      </c>
      <c r="I17" s="4">
        <v>30000</v>
      </c>
      <c r="J17" s="4">
        <f t="shared" si="5"/>
        <v>180000</v>
      </c>
      <c r="K17" s="4">
        <f t="shared" si="6"/>
        <v>270000</v>
      </c>
      <c r="L17" s="4">
        <f t="shared" si="7"/>
        <v>1</v>
      </c>
      <c r="M17" s="4">
        <f t="shared" si="8"/>
        <v>90000</v>
      </c>
      <c r="N17" s="6">
        <f t="shared" si="0"/>
        <v>1</v>
      </c>
      <c r="O17" s="6">
        <f t="shared" si="1"/>
        <v>2024</v>
      </c>
      <c r="P17" s="6" t="str">
        <f t="shared" si="2"/>
        <v>Q1</v>
      </c>
      <c r="Q17" s="6" t="str">
        <f t="shared" si="9"/>
        <v>Profit</v>
      </c>
      <c r="R17" s="6" t="str">
        <f t="shared" si="3"/>
        <v>Top Seller</v>
      </c>
      <c r="S17" t="str">
        <f t="shared" si="10"/>
        <v>Pending</v>
      </c>
    </row>
    <row r="18" spans="1:19" x14ac:dyDescent="0.3">
      <c r="A18" s="4" t="s">
        <v>241</v>
      </c>
      <c r="B18" s="5">
        <v>45503</v>
      </c>
      <c r="C18" s="4" t="s">
        <v>11</v>
      </c>
      <c r="D18" s="4" t="s">
        <v>30</v>
      </c>
      <c r="E18" s="4" t="s">
        <v>196</v>
      </c>
      <c r="F18" s="6" t="s">
        <v>214</v>
      </c>
      <c r="G18" s="4">
        <v>7</v>
      </c>
      <c r="H18" s="4">
        <v>20000</v>
      </c>
      <c r="I18" s="4">
        <v>30000</v>
      </c>
      <c r="J18" s="4">
        <f t="shared" si="5"/>
        <v>140000</v>
      </c>
      <c r="K18" s="4">
        <f t="shared" si="6"/>
        <v>210000</v>
      </c>
      <c r="L18" s="4">
        <f t="shared" si="7"/>
        <v>7</v>
      </c>
      <c r="M18" s="4">
        <f t="shared" si="8"/>
        <v>70000</v>
      </c>
      <c r="N18" s="6">
        <f t="shared" si="0"/>
        <v>7</v>
      </c>
      <c r="O18" s="6">
        <f t="shared" si="1"/>
        <v>2024</v>
      </c>
      <c r="P18" s="6" t="str">
        <f t="shared" si="2"/>
        <v>Q3</v>
      </c>
      <c r="Q18" s="6" t="str">
        <f t="shared" si="9"/>
        <v>Profit</v>
      </c>
      <c r="R18" s="6" t="str">
        <f t="shared" si="3"/>
        <v>Normal</v>
      </c>
      <c r="S18" t="str">
        <f t="shared" si="10"/>
        <v>Pending</v>
      </c>
    </row>
    <row r="19" spans="1:19" x14ac:dyDescent="0.3">
      <c r="A19" s="4" t="s">
        <v>242</v>
      </c>
      <c r="B19" s="5">
        <v>44205</v>
      </c>
      <c r="C19" s="4" t="s">
        <v>9</v>
      </c>
      <c r="D19" s="4" t="s">
        <v>31</v>
      </c>
      <c r="E19" s="4" t="s">
        <v>200</v>
      </c>
      <c r="F19" s="6" t="s">
        <v>215</v>
      </c>
      <c r="G19" s="4">
        <v>7</v>
      </c>
      <c r="H19" s="4">
        <v>1500</v>
      </c>
      <c r="I19" s="4">
        <v>3000</v>
      </c>
      <c r="J19" s="4">
        <f t="shared" si="5"/>
        <v>10500</v>
      </c>
      <c r="K19" s="4">
        <f t="shared" si="6"/>
        <v>21000</v>
      </c>
      <c r="L19" s="4">
        <f t="shared" si="7"/>
        <v>1</v>
      </c>
      <c r="M19" s="4">
        <f t="shared" si="8"/>
        <v>10500</v>
      </c>
      <c r="N19" s="6">
        <f t="shared" si="0"/>
        <v>1</v>
      </c>
      <c r="O19" s="6">
        <f t="shared" si="1"/>
        <v>2021</v>
      </c>
      <c r="P19" s="6" t="str">
        <f t="shared" si="2"/>
        <v>Q1</v>
      </c>
      <c r="Q19" s="6" t="str">
        <f t="shared" si="9"/>
        <v>Profit</v>
      </c>
      <c r="R19" s="6" t="str">
        <f t="shared" si="3"/>
        <v>Top Seller</v>
      </c>
      <c r="S19" t="str">
        <f t="shared" si="10"/>
        <v>Pending</v>
      </c>
    </row>
    <row r="20" spans="1:19" x14ac:dyDescent="0.3">
      <c r="A20" s="4" t="s">
        <v>243</v>
      </c>
      <c r="B20" s="5">
        <v>45892</v>
      </c>
      <c r="C20" s="4" t="s">
        <v>10</v>
      </c>
      <c r="D20" s="4" t="s">
        <v>32</v>
      </c>
      <c r="E20" s="4" t="s">
        <v>204</v>
      </c>
      <c r="F20" s="6" t="s">
        <v>212</v>
      </c>
      <c r="G20" s="4">
        <v>5</v>
      </c>
      <c r="H20" s="4">
        <v>20000</v>
      </c>
      <c r="I20" s="4">
        <v>30000</v>
      </c>
      <c r="J20" s="4">
        <f t="shared" si="5"/>
        <v>100000</v>
      </c>
      <c r="K20" s="4">
        <f t="shared" si="6"/>
        <v>150000</v>
      </c>
      <c r="L20" s="4">
        <f t="shared" si="7"/>
        <v>8</v>
      </c>
      <c r="M20" s="4">
        <f t="shared" si="8"/>
        <v>50000</v>
      </c>
      <c r="N20" s="6">
        <f t="shared" si="0"/>
        <v>8</v>
      </c>
      <c r="O20" s="6">
        <f t="shared" si="1"/>
        <v>2025</v>
      </c>
      <c r="P20" s="6" t="str">
        <f t="shared" si="2"/>
        <v>Q3</v>
      </c>
      <c r="Q20" s="6" t="str">
        <f t="shared" si="9"/>
        <v>Profit</v>
      </c>
      <c r="R20" s="6" t="str">
        <f t="shared" si="3"/>
        <v>Normal</v>
      </c>
      <c r="S20" t="str">
        <f t="shared" si="10"/>
        <v>Pending</v>
      </c>
    </row>
    <row r="21" spans="1:19" x14ac:dyDescent="0.3">
      <c r="A21" s="4" t="s">
        <v>244</v>
      </c>
      <c r="B21" s="5">
        <v>44855</v>
      </c>
      <c r="C21" s="4" t="s">
        <v>12</v>
      </c>
      <c r="D21" s="4" t="s">
        <v>33</v>
      </c>
      <c r="E21" s="4" t="s">
        <v>187</v>
      </c>
      <c r="F21" s="6" t="s">
        <v>214</v>
      </c>
      <c r="G21" s="4">
        <v>1</v>
      </c>
      <c r="H21" s="4">
        <v>12000</v>
      </c>
      <c r="I21" s="4">
        <v>18000</v>
      </c>
      <c r="J21" s="4">
        <f t="shared" si="5"/>
        <v>12000</v>
      </c>
      <c r="K21" s="4">
        <f t="shared" si="6"/>
        <v>18000</v>
      </c>
      <c r="L21" s="4">
        <f t="shared" si="7"/>
        <v>10</v>
      </c>
      <c r="M21" s="4">
        <f t="shared" si="8"/>
        <v>6000</v>
      </c>
      <c r="N21" s="6">
        <f t="shared" si="0"/>
        <v>10</v>
      </c>
      <c r="O21" s="6">
        <f t="shared" si="1"/>
        <v>2022</v>
      </c>
      <c r="P21" s="6" t="str">
        <f t="shared" si="2"/>
        <v>Q4</v>
      </c>
      <c r="Q21" s="6" t="str">
        <f t="shared" si="9"/>
        <v>Profit</v>
      </c>
      <c r="R21" s="6" t="str">
        <f t="shared" si="3"/>
        <v>Normal</v>
      </c>
      <c r="S21" t="str">
        <f t="shared" si="10"/>
        <v>Cancelled</v>
      </c>
    </row>
    <row r="22" spans="1:19" x14ac:dyDescent="0.3">
      <c r="A22" s="4" t="s">
        <v>245</v>
      </c>
      <c r="B22" s="5">
        <v>45444</v>
      </c>
      <c r="C22" s="4" t="s">
        <v>11</v>
      </c>
      <c r="D22" s="4" t="s">
        <v>34</v>
      </c>
      <c r="E22" s="4" t="s">
        <v>197</v>
      </c>
      <c r="F22" s="6" t="s">
        <v>207</v>
      </c>
      <c r="G22" s="4">
        <v>1</v>
      </c>
      <c r="H22" s="4">
        <v>1500</v>
      </c>
      <c r="I22" s="4">
        <v>3000</v>
      </c>
      <c r="J22" s="4">
        <f t="shared" si="5"/>
        <v>1500</v>
      </c>
      <c r="K22" s="4">
        <f t="shared" si="6"/>
        <v>3000</v>
      </c>
      <c r="L22" s="4">
        <f t="shared" si="7"/>
        <v>6</v>
      </c>
      <c r="M22" s="4">
        <f t="shared" si="8"/>
        <v>1500</v>
      </c>
      <c r="N22" s="6">
        <f t="shared" si="0"/>
        <v>6</v>
      </c>
      <c r="O22" s="6">
        <f t="shared" si="1"/>
        <v>2024</v>
      </c>
      <c r="P22" s="6" t="str">
        <f t="shared" si="2"/>
        <v>Q2</v>
      </c>
      <c r="Q22" s="6" t="str">
        <f t="shared" si="9"/>
        <v>Profit</v>
      </c>
      <c r="R22" s="6" t="str">
        <f t="shared" si="3"/>
        <v>Normal</v>
      </c>
      <c r="S22" t="str">
        <f t="shared" si="10"/>
        <v>Cancelled</v>
      </c>
    </row>
    <row r="23" spans="1:19" x14ac:dyDescent="0.3">
      <c r="A23" s="4" t="s">
        <v>246</v>
      </c>
      <c r="B23" s="5">
        <v>44294</v>
      </c>
      <c r="C23" s="4" t="s">
        <v>10</v>
      </c>
      <c r="D23" s="4" t="s">
        <v>35</v>
      </c>
      <c r="E23" s="4" t="s">
        <v>193</v>
      </c>
      <c r="F23" s="6" t="s">
        <v>210</v>
      </c>
      <c r="G23" s="4">
        <v>9</v>
      </c>
      <c r="H23" s="4">
        <v>1500</v>
      </c>
      <c r="I23" s="4">
        <v>3000</v>
      </c>
      <c r="J23" s="4">
        <f t="shared" si="5"/>
        <v>13500</v>
      </c>
      <c r="K23" s="4">
        <f t="shared" si="6"/>
        <v>27000</v>
      </c>
      <c r="L23" s="4">
        <f t="shared" si="7"/>
        <v>4</v>
      </c>
      <c r="M23" s="4">
        <f t="shared" si="8"/>
        <v>13500</v>
      </c>
      <c r="N23" s="6">
        <f t="shared" si="0"/>
        <v>4</v>
      </c>
      <c r="O23" s="6">
        <f t="shared" si="1"/>
        <v>2021</v>
      </c>
      <c r="P23" s="6" t="str">
        <f t="shared" si="2"/>
        <v>Q2</v>
      </c>
      <c r="Q23" s="6" t="str">
        <f t="shared" si="9"/>
        <v>Profit</v>
      </c>
      <c r="R23" s="6" t="str">
        <f t="shared" si="3"/>
        <v>Top Seller</v>
      </c>
      <c r="S23" t="str">
        <f t="shared" si="10"/>
        <v>Pending</v>
      </c>
    </row>
    <row r="24" spans="1:19" x14ac:dyDescent="0.3">
      <c r="A24" s="4" t="s">
        <v>247</v>
      </c>
      <c r="B24" s="5">
        <v>45797</v>
      </c>
      <c r="C24" s="4" t="s">
        <v>9</v>
      </c>
      <c r="D24" s="4" t="s">
        <v>36</v>
      </c>
      <c r="E24" s="4" t="s">
        <v>203</v>
      </c>
      <c r="F24" s="6" t="s">
        <v>209</v>
      </c>
      <c r="G24" s="4">
        <v>2</v>
      </c>
      <c r="H24" s="4">
        <v>20000</v>
      </c>
      <c r="I24" s="4">
        <v>30000</v>
      </c>
      <c r="J24" s="4">
        <f t="shared" si="5"/>
        <v>40000</v>
      </c>
      <c r="K24" s="4">
        <f t="shared" si="6"/>
        <v>60000</v>
      </c>
      <c r="L24" s="4">
        <f t="shared" si="7"/>
        <v>5</v>
      </c>
      <c r="M24" s="4">
        <f t="shared" si="8"/>
        <v>20000</v>
      </c>
      <c r="N24" s="6">
        <f t="shared" si="0"/>
        <v>5</v>
      </c>
      <c r="O24" s="6">
        <f t="shared" si="1"/>
        <v>2025</v>
      </c>
      <c r="P24" s="6" t="str">
        <f t="shared" si="2"/>
        <v>Q2</v>
      </c>
      <c r="Q24" s="6" t="str">
        <f t="shared" si="9"/>
        <v>Profit</v>
      </c>
      <c r="R24" s="6" t="str">
        <f t="shared" si="3"/>
        <v>Top Seller</v>
      </c>
      <c r="S24" t="str">
        <f t="shared" si="10"/>
        <v>Cancelled</v>
      </c>
    </row>
    <row r="25" spans="1:19" x14ac:dyDescent="0.3">
      <c r="A25" s="4" t="s">
        <v>248</v>
      </c>
      <c r="B25" s="5">
        <v>45903</v>
      </c>
      <c r="C25" s="4" t="s">
        <v>12</v>
      </c>
      <c r="D25" s="4" t="s">
        <v>37</v>
      </c>
      <c r="E25" s="4" t="s">
        <v>201</v>
      </c>
      <c r="F25" s="6" t="s">
        <v>208</v>
      </c>
      <c r="G25" s="4">
        <v>10</v>
      </c>
      <c r="H25" s="4">
        <v>20000</v>
      </c>
      <c r="I25" s="4">
        <v>30000</v>
      </c>
      <c r="J25" s="4">
        <f t="shared" si="5"/>
        <v>200000</v>
      </c>
      <c r="K25" s="4">
        <f t="shared" si="6"/>
        <v>300000</v>
      </c>
      <c r="L25" s="4">
        <f t="shared" si="7"/>
        <v>9</v>
      </c>
      <c r="M25" s="4">
        <f t="shared" si="8"/>
        <v>100000</v>
      </c>
      <c r="N25" s="6">
        <f t="shared" si="0"/>
        <v>9</v>
      </c>
      <c r="O25" s="6">
        <f t="shared" si="1"/>
        <v>2025</v>
      </c>
      <c r="P25" s="6" t="str">
        <f t="shared" si="2"/>
        <v>Q3</v>
      </c>
      <c r="Q25" s="6" t="str">
        <f t="shared" si="9"/>
        <v>Profit</v>
      </c>
      <c r="R25" s="6" t="str">
        <f t="shared" si="3"/>
        <v>Top Seller</v>
      </c>
      <c r="S25" t="str">
        <f t="shared" si="10"/>
        <v>Completed</v>
      </c>
    </row>
    <row r="26" spans="1:19" x14ac:dyDescent="0.3">
      <c r="A26" s="4" t="s">
        <v>249</v>
      </c>
      <c r="B26" s="5">
        <v>44547</v>
      </c>
      <c r="C26" s="4" t="s">
        <v>11</v>
      </c>
      <c r="D26" s="4" t="s">
        <v>38</v>
      </c>
      <c r="E26" s="4" t="s">
        <v>195</v>
      </c>
      <c r="F26" s="6" t="s">
        <v>209</v>
      </c>
      <c r="G26" s="4">
        <v>7</v>
      </c>
      <c r="H26" s="4">
        <v>12000</v>
      </c>
      <c r="I26" s="4">
        <v>18000</v>
      </c>
      <c r="J26" s="4">
        <f t="shared" si="5"/>
        <v>84000</v>
      </c>
      <c r="K26" s="4">
        <f t="shared" si="6"/>
        <v>126000</v>
      </c>
      <c r="L26" s="4">
        <f t="shared" si="7"/>
        <v>12</v>
      </c>
      <c r="M26" s="4">
        <f t="shared" si="8"/>
        <v>42000</v>
      </c>
      <c r="N26" s="6">
        <f t="shared" si="0"/>
        <v>12</v>
      </c>
      <c r="O26" s="6">
        <f t="shared" si="1"/>
        <v>2021</v>
      </c>
      <c r="P26" s="6" t="str">
        <f t="shared" si="2"/>
        <v>Q4</v>
      </c>
      <c r="Q26" s="6" t="str">
        <f t="shared" si="9"/>
        <v>Profit</v>
      </c>
      <c r="R26" s="6" t="str">
        <f t="shared" si="3"/>
        <v>Normal</v>
      </c>
      <c r="S26" t="str">
        <f t="shared" si="10"/>
        <v>Pending</v>
      </c>
    </row>
    <row r="27" spans="1:19" x14ac:dyDescent="0.3">
      <c r="A27" s="4" t="s">
        <v>250</v>
      </c>
      <c r="B27" s="5">
        <v>45101</v>
      </c>
      <c r="C27" s="4" t="s">
        <v>9</v>
      </c>
      <c r="D27" s="4" t="s">
        <v>39</v>
      </c>
      <c r="E27" s="4" t="s">
        <v>202</v>
      </c>
      <c r="F27" s="6" t="s">
        <v>215</v>
      </c>
      <c r="G27" s="4">
        <v>2</v>
      </c>
      <c r="H27" s="4">
        <v>6000</v>
      </c>
      <c r="I27" s="4">
        <v>10000</v>
      </c>
      <c r="J27" s="4">
        <f t="shared" si="5"/>
        <v>12000</v>
      </c>
      <c r="K27" s="4">
        <f t="shared" si="6"/>
        <v>20000</v>
      </c>
      <c r="L27" s="4">
        <f t="shared" si="7"/>
        <v>6</v>
      </c>
      <c r="M27" s="4">
        <f t="shared" si="8"/>
        <v>8000</v>
      </c>
      <c r="N27" s="6">
        <f t="shared" si="0"/>
        <v>6</v>
      </c>
      <c r="O27" s="6">
        <f t="shared" si="1"/>
        <v>2023</v>
      </c>
      <c r="P27" s="6" t="str">
        <f t="shared" si="2"/>
        <v>Q2</v>
      </c>
      <c r="Q27" s="6" t="str">
        <f t="shared" si="9"/>
        <v>Profit</v>
      </c>
      <c r="R27" s="6" t="str">
        <f t="shared" si="3"/>
        <v>Normal</v>
      </c>
      <c r="S27" t="str">
        <f t="shared" si="10"/>
        <v>Cancelled</v>
      </c>
    </row>
    <row r="28" spans="1:19" x14ac:dyDescent="0.3">
      <c r="A28" s="4" t="s">
        <v>251</v>
      </c>
      <c r="B28" s="5">
        <v>43998</v>
      </c>
      <c r="C28" s="4" t="s">
        <v>10</v>
      </c>
      <c r="D28" s="4" t="s">
        <v>40</v>
      </c>
      <c r="E28" s="4" t="s">
        <v>204</v>
      </c>
      <c r="F28" s="6" t="s">
        <v>206</v>
      </c>
      <c r="G28" s="4">
        <v>1</v>
      </c>
      <c r="H28" s="4">
        <v>6000</v>
      </c>
      <c r="I28" s="4">
        <v>10000</v>
      </c>
      <c r="J28" s="4">
        <f t="shared" si="5"/>
        <v>6000</v>
      </c>
      <c r="K28" s="4">
        <f t="shared" si="6"/>
        <v>10000</v>
      </c>
      <c r="L28" s="4">
        <f t="shared" si="7"/>
        <v>6</v>
      </c>
      <c r="M28" s="4">
        <f t="shared" si="8"/>
        <v>4000</v>
      </c>
      <c r="N28" s="6">
        <f t="shared" si="0"/>
        <v>6</v>
      </c>
      <c r="O28" s="6">
        <f t="shared" si="1"/>
        <v>2020</v>
      </c>
      <c r="P28" s="6" t="str">
        <f t="shared" si="2"/>
        <v>Q2</v>
      </c>
      <c r="Q28" s="6" t="str">
        <f t="shared" si="9"/>
        <v>Profit</v>
      </c>
      <c r="R28" s="6" t="str">
        <f t="shared" si="3"/>
        <v>Normal</v>
      </c>
      <c r="S28" t="str">
        <f t="shared" si="10"/>
        <v>Cancelled</v>
      </c>
    </row>
    <row r="29" spans="1:19" x14ac:dyDescent="0.3">
      <c r="A29" s="4" t="s">
        <v>252</v>
      </c>
      <c r="B29" s="5">
        <v>45202</v>
      </c>
      <c r="C29" s="4" t="s">
        <v>10</v>
      </c>
      <c r="D29" s="4" t="s">
        <v>41</v>
      </c>
      <c r="E29" s="4" t="s">
        <v>186</v>
      </c>
      <c r="F29" s="6" t="s">
        <v>213</v>
      </c>
      <c r="G29" s="4">
        <v>2</v>
      </c>
      <c r="H29" s="4">
        <v>12000</v>
      </c>
      <c r="I29" s="4">
        <v>18000</v>
      </c>
      <c r="J29" s="4">
        <f t="shared" si="5"/>
        <v>24000</v>
      </c>
      <c r="K29" s="4">
        <f t="shared" si="6"/>
        <v>36000</v>
      </c>
      <c r="L29" s="4">
        <f t="shared" si="7"/>
        <v>10</v>
      </c>
      <c r="M29" s="4">
        <f t="shared" si="8"/>
        <v>12000</v>
      </c>
      <c r="N29" s="6">
        <f t="shared" si="0"/>
        <v>10</v>
      </c>
      <c r="O29" s="6">
        <f t="shared" si="1"/>
        <v>2023</v>
      </c>
      <c r="P29" s="6" t="str">
        <f t="shared" si="2"/>
        <v>Q4</v>
      </c>
      <c r="Q29" s="6" t="str">
        <f t="shared" si="9"/>
        <v>Profit</v>
      </c>
      <c r="R29" s="6" t="str">
        <f t="shared" si="3"/>
        <v>Top Seller</v>
      </c>
      <c r="S29" t="str">
        <f t="shared" si="10"/>
        <v>Cancelled</v>
      </c>
    </row>
    <row r="30" spans="1:19" x14ac:dyDescent="0.3">
      <c r="A30" s="4" t="s">
        <v>253</v>
      </c>
      <c r="B30" s="5">
        <v>45879</v>
      </c>
      <c r="C30" s="4" t="s">
        <v>12</v>
      </c>
      <c r="D30" s="4" t="s">
        <v>42</v>
      </c>
      <c r="E30" s="4" t="s">
        <v>199</v>
      </c>
      <c r="F30" s="6" t="s">
        <v>214</v>
      </c>
      <c r="G30" s="4">
        <v>9</v>
      </c>
      <c r="H30" s="4">
        <v>6000</v>
      </c>
      <c r="I30" s="4">
        <v>10000</v>
      </c>
      <c r="J30" s="4">
        <f t="shared" si="5"/>
        <v>54000</v>
      </c>
      <c r="K30" s="4">
        <f t="shared" si="6"/>
        <v>90000</v>
      </c>
      <c r="L30" s="4">
        <f t="shared" si="7"/>
        <v>8</v>
      </c>
      <c r="M30" s="4">
        <f t="shared" si="8"/>
        <v>36000</v>
      </c>
      <c r="N30" s="6">
        <f t="shared" si="0"/>
        <v>8</v>
      </c>
      <c r="O30" s="6">
        <f t="shared" si="1"/>
        <v>2025</v>
      </c>
      <c r="P30" s="6" t="str">
        <f t="shared" si="2"/>
        <v>Q3</v>
      </c>
      <c r="Q30" s="6" t="str">
        <f t="shared" si="9"/>
        <v>Profit</v>
      </c>
      <c r="R30" s="6" t="str">
        <f t="shared" si="3"/>
        <v>Top Seller</v>
      </c>
      <c r="S30" t="str">
        <f t="shared" si="10"/>
        <v>Pending</v>
      </c>
    </row>
    <row r="31" spans="1:19" x14ac:dyDescent="0.3">
      <c r="A31" s="4" t="s">
        <v>254</v>
      </c>
      <c r="B31" s="5">
        <v>44597</v>
      </c>
      <c r="C31" s="4" t="s">
        <v>10</v>
      </c>
      <c r="D31" s="4" t="s">
        <v>43</v>
      </c>
      <c r="E31" s="4" t="s">
        <v>200</v>
      </c>
      <c r="F31" s="6" t="s">
        <v>207</v>
      </c>
      <c r="G31" s="4">
        <v>4</v>
      </c>
      <c r="H31" s="4">
        <v>35000</v>
      </c>
      <c r="I31" s="4">
        <v>52000</v>
      </c>
      <c r="J31" s="4">
        <f t="shared" si="5"/>
        <v>140000</v>
      </c>
      <c r="K31" s="4">
        <f t="shared" si="6"/>
        <v>208000</v>
      </c>
      <c r="L31" s="4">
        <f t="shared" si="7"/>
        <v>2</v>
      </c>
      <c r="M31" s="4">
        <f t="shared" si="8"/>
        <v>68000</v>
      </c>
      <c r="N31" s="6">
        <f t="shared" si="0"/>
        <v>2</v>
      </c>
      <c r="O31" s="6">
        <f t="shared" si="1"/>
        <v>2022</v>
      </c>
      <c r="P31" s="6" t="str">
        <f t="shared" si="2"/>
        <v>Q1</v>
      </c>
      <c r="Q31" s="6" t="str">
        <f t="shared" si="9"/>
        <v>Profit</v>
      </c>
      <c r="R31" s="6" t="str">
        <f t="shared" si="3"/>
        <v>Top Seller</v>
      </c>
      <c r="S31" t="str">
        <f t="shared" si="10"/>
        <v>Pending</v>
      </c>
    </row>
    <row r="32" spans="1:19" x14ac:dyDescent="0.3">
      <c r="A32" s="4" t="s">
        <v>255</v>
      </c>
      <c r="B32" s="5">
        <v>45634</v>
      </c>
      <c r="C32" s="4" t="s">
        <v>12</v>
      </c>
      <c r="D32" s="4" t="s">
        <v>44</v>
      </c>
      <c r="E32" s="4" t="s">
        <v>193</v>
      </c>
      <c r="F32" s="6" t="s">
        <v>214</v>
      </c>
      <c r="G32" s="4">
        <v>10</v>
      </c>
      <c r="H32" s="4">
        <v>20000</v>
      </c>
      <c r="I32" s="4">
        <v>30000</v>
      </c>
      <c r="J32" s="4">
        <f t="shared" si="5"/>
        <v>200000</v>
      </c>
      <c r="K32" s="4">
        <f t="shared" si="6"/>
        <v>300000</v>
      </c>
      <c r="L32" s="4">
        <f t="shared" si="7"/>
        <v>12</v>
      </c>
      <c r="M32" s="4">
        <f t="shared" si="8"/>
        <v>100000</v>
      </c>
      <c r="N32" s="6">
        <f t="shared" si="0"/>
        <v>12</v>
      </c>
      <c r="O32" s="6">
        <f t="shared" si="1"/>
        <v>2024</v>
      </c>
      <c r="P32" s="6" t="str">
        <f t="shared" si="2"/>
        <v>Q4</v>
      </c>
      <c r="Q32" s="6" t="str">
        <f t="shared" si="9"/>
        <v>Profit</v>
      </c>
      <c r="R32" s="6" t="str">
        <f t="shared" si="3"/>
        <v>Normal</v>
      </c>
      <c r="S32" t="str">
        <f t="shared" si="10"/>
        <v>Completed</v>
      </c>
    </row>
    <row r="33" spans="1:20" x14ac:dyDescent="0.3">
      <c r="A33" s="4" t="s">
        <v>256</v>
      </c>
      <c r="B33" s="5">
        <v>45708</v>
      </c>
      <c r="C33" s="4" t="s">
        <v>11</v>
      </c>
      <c r="D33" s="4" t="s">
        <v>45</v>
      </c>
      <c r="E33" s="4" t="s">
        <v>200</v>
      </c>
      <c r="F33" s="6" t="s">
        <v>209</v>
      </c>
      <c r="G33" s="4">
        <v>8</v>
      </c>
      <c r="H33" s="4">
        <v>1500</v>
      </c>
      <c r="I33" s="4">
        <v>3000</v>
      </c>
      <c r="J33" s="4">
        <f t="shared" si="5"/>
        <v>12000</v>
      </c>
      <c r="K33" s="4">
        <f t="shared" si="6"/>
        <v>24000</v>
      </c>
      <c r="L33" s="4">
        <f t="shared" si="7"/>
        <v>2</v>
      </c>
      <c r="M33" s="4">
        <f t="shared" si="8"/>
        <v>12000</v>
      </c>
      <c r="N33" s="6">
        <f t="shared" si="0"/>
        <v>2</v>
      </c>
      <c r="O33" s="6">
        <f t="shared" si="1"/>
        <v>2025</v>
      </c>
      <c r="P33" s="6" t="str">
        <f t="shared" si="2"/>
        <v>Q1</v>
      </c>
      <c r="Q33" s="6" t="str">
        <f t="shared" si="9"/>
        <v>Profit</v>
      </c>
      <c r="R33" s="6" t="str">
        <f t="shared" si="3"/>
        <v>Top Seller</v>
      </c>
      <c r="S33" t="str">
        <f t="shared" si="10"/>
        <v>Pending</v>
      </c>
    </row>
    <row r="34" spans="1:20" x14ac:dyDescent="0.3">
      <c r="A34" s="4" t="s">
        <v>257</v>
      </c>
      <c r="B34" s="5">
        <v>44981</v>
      </c>
      <c r="C34" s="4" t="s">
        <v>9</v>
      </c>
      <c r="D34" s="4" t="s">
        <v>46</v>
      </c>
      <c r="E34" s="4" t="s">
        <v>201</v>
      </c>
      <c r="F34" s="6" t="s">
        <v>206</v>
      </c>
      <c r="G34" s="4">
        <v>5</v>
      </c>
      <c r="H34" s="4">
        <v>12000</v>
      </c>
      <c r="I34" s="4">
        <v>18000</v>
      </c>
      <c r="J34" s="4">
        <f t="shared" si="5"/>
        <v>60000</v>
      </c>
      <c r="K34" s="4">
        <f t="shared" si="6"/>
        <v>90000</v>
      </c>
      <c r="L34" s="4">
        <f t="shared" si="7"/>
        <v>2</v>
      </c>
      <c r="M34" s="4">
        <f t="shared" si="8"/>
        <v>30000</v>
      </c>
      <c r="N34" s="6">
        <f t="shared" ref="N34:N65" si="11">MONTH(B:B)</f>
        <v>2</v>
      </c>
      <c r="O34" s="6">
        <f t="shared" ref="O34:O65" si="12">YEAR(B:B)</f>
        <v>2023</v>
      </c>
      <c r="P34" s="6" t="str">
        <f t="shared" ref="P34:P65" si="13">"Q"&amp;ROUNDUP(MONTH(B:B)/3,0)</f>
        <v>Q1</v>
      </c>
      <c r="Q34" s="6" t="str">
        <f t="shared" si="9"/>
        <v>Profit</v>
      </c>
      <c r="R34" s="6" t="str">
        <f t="shared" si="3"/>
        <v>Top Seller</v>
      </c>
      <c r="S34" t="str">
        <f t="shared" si="10"/>
        <v>Pending</v>
      </c>
    </row>
    <row r="35" spans="1:20" x14ac:dyDescent="0.3">
      <c r="A35" s="4" t="s">
        <v>258</v>
      </c>
      <c r="B35" s="5">
        <v>44451</v>
      </c>
      <c r="C35" s="4" t="s">
        <v>11</v>
      </c>
      <c r="D35" s="4" t="s">
        <v>47</v>
      </c>
      <c r="E35" s="4" t="s">
        <v>186</v>
      </c>
      <c r="F35" s="6" t="s">
        <v>207</v>
      </c>
      <c r="G35" s="4">
        <v>4</v>
      </c>
      <c r="H35" s="4">
        <v>12000</v>
      </c>
      <c r="I35" s="4">
        <v>18000</v>
      </c>
      <c r="J35" s="4">
        <f t="shared" si="5"/>
        <v>48000</v>
      </c>
      <c r="K35" s="4">
        <f t="shared" si="6"/>
        <v>72000</v>
      </c>
      <c r="L35" s="4">
        <f t="shared" si="7"/>
        <v>9</v>
      </c>
      <c r="M35" s="4">
        <f t="shared" si="8"/>
        <v>24000</v>
      </c>
      <c r="N35" s="6">
        <f t="shared" si="11"/>
        <v>9</v>
      </c>
      <c r="O35" s="6">
        <f t="shared" si="12"/>
        <v>2021</v>
      </c>
      <c r="P35" s="6" t="str">
        <f t="shared" si="13"/>
        <v>Q3</v>
      </c>
      <c r="Q35" s="6" t="str">
        <f t="shared" si="9"/>
        <v>Profit</v>
      </c>
      <c r="R35" s="6" t="str">
        <f t="shared" si="3"/>
        <v>Normal</v>
      </c>
      <c r="S35" t="str">
        <f t="shared" si="10"/>
        <v>Pending</v>
      </c>
    </row>
    <row r="36" spans="1:20" x14ac:dyDescent="0.3">
      <c r="A36" s="4" t="s">
        <v>259</v>
      </c>
      <c r="B36" s="5">
        <v>44792</v>
      </c>
      <c r="C36" s="4" t="s">
        <v>9</v>
      </c>
      <c r="D36" s="4" t="s">
        <v>48</v>
      </c>
      <c r="E36" s="4" t="s">
        <v>189</v>
      </c>
      <c r="F36" s="6" t="s">
        <v>208</v>
      </c>
      <c r="G36" s="4">
        <v>4</v>
      </c>
      <c r="H36" s="4">
        <v>6000</v>
      </c>
      <c r="I36" s="4">
        <v>10000</v>
      </c>
      <c r="J36" s="4">
        <f t="shared" si="5"/>
        <v>24000</v>
      </c>
      <c r="K36" s="4">
        <f t="shared" si="6"/>
        <v>40000</v>
      </c>
      <c r="L36" s="4">
        <f t="shared" si="7"/>
        <v>8</v>
      </c>
      <c r="M36" s="4">
        <f t="shared" si="8"/>
        <v>16000</v>
      </c>
      <c r="N36" s="6">
        <f t="shared" si="11"/>
        <v>8</v>
      </c>
      <c r="O36" s="6">
        <f t="shared" si="12"/>
        <v>2022</v>
      </c>
      <c r="P36" s="6" t="str">
        <f t="shared" si="13"/>
        <v>Q3</v>
      </c>
      <c r="Q36" s="6" t="str">
        <f t="shared" si="9"/>
        <v>Profit</v>
      </c>
      <c r="R36" s="6" t="str">
        <f t="shared" si="3"/>
        <v>Top Seller</v>
      </c>
      <c r="S36" t="str">
        <f t="shared" si="10"/>
        <v>Pending</v>
      </c>
    </row>
    <row r="37" spans="1:20" x14ac:dyDescent="0.3">
      <c r="A37" s="4" t="s">
        <v>260</v>
      </c>
      <c r="B37" s="5">
        <v>46013</v>
      </c>
      <c r="C37" s="4" t="s">
        <v>11</v>
      </c>
      <c r="D37" s="4" t="s">
        <v>49</v>
      </c>
      <c r="E37" s="4" t="s">
        <v>194</v>
      </c>
      <c r="F37" s="6" t="s">
        <v>208</v>
      </c>
      <c r="G37" s="4">
        <v>3</v>
      </c>
      <c r="H37" s="4">
        <v>35000</v>
      </c>
      <c r="I37" s="4">
        <v>52000</v>
      </c>
      <c r="J37" s="4">
        <f t="shared" si="5"/>
        <v>105000</v>
      </c>
      <c r="K37" s="4">
        <f t="shared" si="6"/>
        <v>156000</v>
      </c>
      <c r="L37" s="4">
        <f t="shared" si="7"/>
        <v>12</v>
      </c>
      <c r="M37" s="4">
        <f t="shared" si="8"/>
        <v>51000</v>
      </c>
      <c r="N37" s="6">
        <f t="shared" si="11"/>
        <v>12</v>
      </c>
      <c r="O37" s="6">
        <f t="shared" si="12"/>
        <v>2025</v>
      </c>
      <c r="P37" s="6" t="str">
        <f t="shared" si="13"/>
        <v>Q4</v>
      </c>
      <c r="Q37" s="6" t="str">
        <f t="shared" si="9"/>
        <v>Profit</v>
      </c>
      <c r="R37" s="6" t="str">
        <f t="shared" si="3"/>
        <v>Normal</v>
      </c>
      <c r="S37" t="str">
        <f t="shared" si="10"/>
        <v>Pending</v>
      </c>
    </row>
    <row r="38" spans="1:20" x14ac:dyDescent="0.3">
      <c r="A38" s="4" t="s">
        <v>261</v>
      </c>
      <c r="B38" s="5">
        <v>44996</v>
      </c>
      <c r="C38" s="4" t="s">
        <v>10</v>
      </c>
      <c r="D38" s="4" t="s">
        <v>50</v>
      </c>
      <c r="E38" s="4" t="s">
        <v>194</v>
      </c>
      <c r="F38" s="6" t="s">
        <v>209</v>
      </c>
      <c r="G38" s="4">
        <v>3</v>
      </c>
      <c r="H38" s="4">
        <v>1500</v>
      </c>
      <c r="I38" s="4">
        <v>3000</v>
      </c>
      <c r="J38" s="4">
        <f t="shared" si="5"/>
        <v>4500</v>
      </c>
      <c r="K38" s="4">
        <f t="shared" si="6"/>
        <v>9000</v>
      </c>
      <c r="L38" s="4">
        <f t="shared" si="7"/>
        <v>3</v>
      </c>
      <c r="M38" s="4">
        <f t="shared" si="8"/>
        <v>4500</v>
      </c>
      <c r="N38" s="6">
        <f t="shared" si="11"/>
        <v>3</v>
      </c>
      <c r="O38" s="6">
        <f t="shared" si="12"/>
        <v>2023</v>
      </c>
      <c r="P38" s="6" t="str">
        <f t="shared" si="13"/>
        <v>Q1</v>
      </c>
      <c r="Q38" s="6" t="str">
        <f t="shared" si="9"/>
        <v>Profit</v>
      </c>
      <c r="R38" s="6" t="str">
        <f t="shared" si="3"/>
        <v>Normal</v>
      </c>
      <c r="S38" t="str">
        <f t="shared" si="10"/>
        <v>Pending</v>
      </c>
      <c r="T38" s="2"/>
    </row>
    <row r="39" spans="1:20" x14ac:dyDescent="0.3">
      <c r="A39" s="4" t="s">
        <v>262</v>
      </c>
      <c r="B39" s="5">
        <v>45673</v>
      </c>
      <c r="C39" s="4" t="s">
        <v>9</v>
      </c>
      <c r="D39" s="4" t="s">
        <v>51</v>
      </c>
      <c r="E39" s="4" t="s">
        <v>202</v>
      </c>
      <c r="F39" s="6" t="s">
        <v>214</v>
      </c>
      <c r="G39" s="4">
        <v>10</v>
      </c>
      <c r="H39" s="4">
        <v>1500</v>
      </c>
      <c r="I39" s="4">
        <v>3000</v>
      </c>
      <c r="J39" s="4">
        <f t="shared" si="5"/>
        <v>15000</v>
      </c>
      <c r="K39" s="4">
        <f t="shared" si="6"/>
        <v>30000</v>
      </c>
      <c r="L39" s="4">
        <f t="shared" si="7"/>
        <v>1</v>
      </c>
      <c r="M39" s="4">
        <f t="shared" si="8"/>
        <v>15000</v>
      </c>
      <c r="N39" s="6">
        <f t="shared" si="11"/>
        <v>1</v>
      </c>
      <c r="O39" s="6">
        <f t="shared" si="12"/>
        <v>2025</v>
      </c>
      <c r="P39" s="6" t="str">
        <f t="shared" si="13"/>
        <v>Q1</v>
      </c>
      <c r="Q39" s="6" t="str">
        <f t="shared" si="9"/>
        <v>Profit</v>
      </c>
      <c r="R39" s="6" t="str">
        <f t="shared" si="3"/>
        <v>Top Seller</v>
      </c>
      <c r="S39" t="str">
        <f t="shared" si="10"/>
        <v>Completed</v>
      </c>
      <c r="T39" s="3"/>
    </row>
    <row r="40" spans="1:20" x14ac:dyDescent="0.3">
      <c r="A40" s="4" t="s">
        <v>263</v>
      </c>
      <c r="B40" s="5">
        <v>44692</v>
      </c>
      <c r="C40" s="4" t="s">
        <v>11</v>
      </c>
      <c r="D40" s="4" t="s">
        <v>52</v>
      </c>
      <c r="E40" s="4" t="s">
        <v>200</v>
      </c>
      <c r="F40" s="6" t="s">
        <v>207</v>
      </c>
      <c r="G40" s="4">
        <v>5</v>
      </c>
      <c r="H40" s="4">
        <v>35000</v>
      </c>
      <c r="I40" s="4">
        <v>52000</v>
      </c>
      <c r="J40" s="4">
        <f t="shared" si="5"/>
        <v>175000</v>
      </c>
      <c r="K40" s="4">
        <f t="shared" si="6"/>
        <v>260000</v>
      </c>
      <c r="L40" s="4">
        <f t="shared" si="7"/>
        <v>5</v>
      </c>
      <c r="M40" s="4">
        <f t="shared" si="8"/>
        <v>85000</v>
      </c>
      <c r="N40" s="6">
        <f t="shared" si="11"/>
        <v>5</v>
      </c>
      <c r="O40" s="6">
        <f t="shared" si="12"/>
        <v>2022</v>
      </c>
      <c r="P40" s="6" t="str">
        <f t="shared" si="13"/>
        <v>Q2</v>
      </c>
      <c r="Q40" s="6" t="str">
        <f t="shared" si="9"/>
        <v>Profit</v>
      </c>
      <c r="R40" s="6" t="str">
        <f t="shared" si="3"/>
        <v>Normal</v>
      </c>
      <c r="S40" t="str">
        <f t="shared" si="10"/>
        <v>Pending</v>
      </c>
      <c r="T40" s="3"/>
    </row>
    <row r="41" spans="1:20" x14ac:dyDescent="0.3">
      <c r="A41" s="4" t="s">
        <v>264</v>
      </c>
      <c r="B41" s="5">
        <v>45240</v>
      </c>
      <c r="C41" s="4" t="s">
        <v>11</v>
      </c>
      <c r="D41" s="4" t="s">
        <v>53</v>
      </c>
      <c r="E41" s="4" t="s">
        <v>192</v>
      </c>
      <c r="F41" s="6" t="s">
        <v>207</v>
      </c>
      <c r="G41" s="4">
        <v>5</v>
      </c>
      <c r="H41" s="4">
        <v>1500</v>
      </c>
      <c r="I41" s="4">
        <v>3000</v>
      </c>
      <c r="J41" s="4">
        <f t="shared" si="5"/>
        <v>7500</v>
      </c>
      <c r="K41" s="4">
        <f t="shared" si="6"/>
        <v>15000</v>
      </c>
      <c r="L41" s="4">
        <f t="shared" si="7"/>
        <v>11</v>
      </c>
      <c r="M41" s="4">
        <f t="shared" si="8"/>
        <v>7500</v>
      </c>
      <c r="N41" s="6">
        <f t="shared" si="11"/>
        <v>11</v>
      </c>
      <c r="O41" s="6">
        <f t="shared" si="12"/>
        <v>2023</v>
      </c>
      <c r="P41" s="6" t="str">
        <f t="shared" si="13"/>
        <v>Q4</v>
      </c>
      <c r="Q41" s="6" t="str">
        <f t="shared" si="9"/>
        <v>Profit</v>
      </c>
      <c r="R41" s="6" t="str">
        <f t="shared" si="3"/>
        <v>Normal</v>
      </c>
      <c r="S41" t="str">
        <f t="shared" si="10"/>
        <v>Pending</v>
      </c>
      <c r="T41" s="3"/>
    </row>
    <row r="42" spans="1:20" x14ac:dyDescent="0.3">
      <c r="A42" s="4" t="s">
        <v>265</v>
      </c>
      <c r="B42" s="5">
        <v>44618</v>
      </c>
      <c r="C42" s="4" t="s">
        <v>12</v>
      </c>
      <c r="D42" s="4" t="s">
        <v>54</v>
      </c>
      <c r="E42" s="4" t="s">
        <v>189</v>
      </c>
      <c r="F42" s="6" t="s">
        <v>214</v>
      </c>
      <c r="G42" s="4">
        <v>1</v>
      </c>
      <c r="H42" s="4">
        <v>20000</v>
      </c>
      <c r="I42" s="4">
        <v>30000</v>
      </c>
      <c r="J42" s="4">
        <f t="shared" si="5"/>
        <v>20000</v>
      </c>
      <c r="K42" s="4">
        <f t="shared" si="6"/>
        <v>30000</v>
      </c>
      <c r="L42" s="4">
        <f t="shared" si="7"/>
        <v>2</v>
      </c>
      <c r="M42" s="4">
        <f t="shared" si="8"/>
        <v>10000</v>
      </c>
      <c r="N42" s="6">
        <f t="shared" si="11"/>
        <v>2</v>
      </c>
      <c r="O42" s="6">
        <f t="shared" si="12"/>
        <v>2022</v>
      </c>
      <c r="P42" s="6" t="str">
        <f t="shared" si="13"/>
        <v>Q1</v>
      </c>
      <c r="Q42" s="6" t="str">
        <f t="shared" si="9"/>
        <v>Profit</v>
      </c>
      <c r="R42" s="6" t="str">
        <f t="shared" si="3"/>
        <v>Top Seller</v>
      </c>
      <c r="S42" t="str">
        <f t="shared" si="10"/>
        <v>Cancelled</v>
      </c>
      <c r="T42" s="3"/>
    </row>
    <row r="43" spans="1:20" x14ac:dyDescent="0.3">
      <c r="A43" s="4" t="s">
        <v>266</v>
      </c>
      <c r="B43" s="5">
        <v>45447</v>
      </c>
      <c r="C43" s="4" t="s">
        <v>12</v>
      </c>
      <c r="D43" s="4" t="s">
        <v>55</v>
      </c>
      <c r="E43" s="4" t="s">
        <v>198</v>
      </c>
      <c r="F43" s="6" t="s">
        <v>207</v>
      </c>
      <c r="G43" s="4">
        <v>9</v>
      </c>
      <c r="H43" s="4">
        <v>6000</v>
      </c>
      <c r="I43" s="4">
        <v>10000</v>
      </c>
      <c r="J43" s="4">
        <f t="shared" si="5"/>
        <v>54000</v>
      </c>
      <c r="K43" s="4">
        <f t="shared" si="6"/>
        <v>90000</v>
      </c>
      <c r="L43" s="4">
        <f t="shared" si="7"/>
        <v>6</v>
      </c>
      <c r="M43" s="4">
        <f t="shared" si="8"/>
        <v>36000</v>
      </c>
      <c r="N43" s="6">
        <f t="shared" si="11"/>
        <v>6</v>
      </c>
      <c r="O43" s="6">
        <f t="shared" si="12"/>
        <v>2024</v>
      </c>
      <c r="P43" s="6" t="str">
        <f t="shared" si="13"/>
        <v>Q2</v>
      </c>
      <c r="Q43" s="6" t="str">
        <f t="shared" si="9"/>
        <v>Profit</v>
      </c>
      <c r="R43" s="6" t="str">
        <f t="shared" si="3"/>
        <v>Top Seller</v>
      </c>
      <c r="S43" t="str">
        <f t="shared" si="10"/>
        <v>Pending</v>
      </c>
    </row>
    <row r="44" spans="1:20" x14ac:dyDescent="0.3">
      <c r="A44" s="4" t="s">
        <v>267</v>
      </c>
      <c r="B44" s="5">
        <v>44277</v>
      </c>
      <c r="C44" s="4" t="s">
        <v>9</v>
      </c>
      <c r="D44" s="4" t="s">
        <v>56</v>
      </c>
      <c r="E44" s="4" t="s">
        <v>192</v>
      </c>
      <c r="F44" s="6" t="s">
        <v>212</v>
      </c>
      <c r="G44" s="4">
        <v>8</v>
      </c>
      <c r="H44" s="4">
        <v>35000</v>
      </c>
      <c r="I44" s="4">
        <v>52000</v>
      </c>
      <c r="J44" s="4">
        <f t="shared" si="5"/>
        <v>280000</v>
      </c>
      <c r="K44" s="4">
        <f t="shared" si="6"/>
        <v>416000</v>
      </c>
      <c r="L44" s="4">
        <f t="shared" si="7"/>
        <v>3</v>
      </c>
      <c r="M44" s="4">
        <f t="shared" si="8"/>
        <v>136000</v>
      </c>
      <c r="N44" s="6">
        <f t="shared" si="11"/>
        <v>3</v>
      </c>
      <c r="O44" s="6">
        <f t="shared" si="12"/>
        <v>2021</v>
      </c>
      <c r="P44" s="6" t="str">
        <f t="shared" si="13"/>
        <v>Q1</v>
      </c>
      <c r="Q44" s="6" t="str">
        <f t="shared" si="9"/>
        <v>Profit</v>
      </c>
      <c r="R44" s="6" t="str">
        <f t="shared" si="3"/>
        <v>Top Seller</v>
      </c>
      <c r="S44" t="str">
        <f t="shared" si="10"/>
        <v>Pending</v>
      </c>
    </row>
    <row r="45" spans="1:20" x14ac:dyDescent="0.3">
      <c r="A45" s="4" t="s">
        <v>268</v>
      </c>
      <c r="B45" s="5">
        <v>44855</v>
      </c>
      <c r="C45" s="4" t="s">
        <v>11</v>
      </c>
      <c r="D45" s="4" t="s">
        <v>35</v>
      </c>
      <c r="E45" s="4" t="s">
        <v>187</v>
      </c>
      <c r="F45" s="6" t="s">
        <v>214</v>
      </c>
      <c r="G45" s="4">
        <v>10</v>
      </c>
      <c r="H45" s="4">
        <v>6000</v>
      </c>
      <c r="I45" s="4">
        <v>10000</v>
      </c>
      <c r="J45" s="4">
        <f t="shared" si="5"/>
        <v>60000</v>
      </c>
      <c r="K45" s="4">
        <f t="shared" si="6"/>
        <v>100000</v>
      </c>
      <c r="L45" s="4">
        <f t="shared" si="7"/>
        <v>10</v>
      </c>
      <c r="M45" s="4">
        <f t="shared" si="8"/>
        <v>40000</v>
      </c>
      <c r="N45" s="6">
        <f t="shared" si="11"/>
        <v>10</v>
      </c>
      <c r="O45" s="6">
        <f t="shared" si="12"/>
        <v>2022</v>
      </c>
      <c r="P45" s="6" t="str">
        <f t="shared" si="13"/>
        <v>Q4</v>
      </c>
      <c r="Q45" s="6" t="str">
        <f t="shared" si="9"/>
        <v>Profit</v>
      </c>
      <c r="R45" s="6" t="str">
        <f t="shared" si="3"/>
        <v>Top Seller</v>
      </c>
      <c r="S45" t="str">
        <f t="shared" si="10"/>
        <v>Completed</v>
      </c>
    </row>
    <row r="46" spans="1:20" x14ac:dyDescent="0.3">
      <c r="A46" s="4" t="s">
        <v>269</v>
      </c>
      <c r="B46" s="5">
        <v>45772</v>
      </c>
      <c r="C46" s="4" t="s">
        <v>9</v>
      </c>
      <c r="D46" s="4" t="s">
        <v>20</v>
      </c>
      <c r="E46" s="4" t="s">
        <v>198</v>
      </c>
      <c r="F46" s="6" t="s">
        <v>209</v>
      </c>
      <c r="G46" s="4">
        <v>3</v>
      </c>
      <c r="H46" s="4">
        <v>12000</v>
      </c>
      <c r="I46" s="4">
        <v>18000</v>
      </c>
      <c r="J46" s="4">
        <f t="shared" si="5"/>
        <v>36000</v>
      </c>
      <c r="K46" s="4">
        <f t="shared" si="6"/>
        <v>54000</v>
      </c>
      <c r="L46" s="4">
        <f t="shared" si="7"/>
        <v>4</v>
      </c>
      <c r="M46" s="4">
        <f t="shared" si="8"/>
        <v>18000</v>
      </c>
      <c r="N46" s="6">
        <f t="shared" si="11"/>
        <v>4</v>
      </c>
      <c r="O46" s="6">
        <f t="shared" si="12"/>
        <v>2025</v>
      </c>
      <c r="P46" s="6" t="str">
        <f t="shared" si="13"/>
        <v>Q2</v>
      </c>
      <c r="Q46" s="6" t="str">
        <f t="shared" si="9"/>
        <v>Profit</v>
      </c>
      <c r="R46" s="6" t="str">
        <f t="shared" si="3"/>
        <v>Top Seller</v>
      </c>
      <c r="S46" t="str">
        <f t="shared" si="10"/>
        <v>Pending</v>
      </c>
    </row>
    <row r="47" spans="1:20" x14ac:dyDescent="0.3">
      <c r="A47" s="4" t="s">
        <v>270</v>
      </c>
      <c r="B47" s="5">
        <v>45922</v>
      </c>
      <c r="C47" s="4" t="s">
        <v>12</v>
      </c>
      <c r="D47" s="4" t="s">
        <v>57</v>
      </c>
      <c r="E47" s="4" t="s">
        <v>202</v>
      </c>
      <c r="F47" s="6" t="s">
        <v>212</v>
      </c>
      <c r="G47" s="4">
        <v>6</v>
      </c>
      <c r="H47" s="4">
        <v>6000</v>
      </c>
      <c r="I47" s="4">
        <v>10000</v>
      </c>
      <c r="J47" s="4">
        <f t="shared" si="5"/>
        <v>36000</v>
      </c>
      <c r="K47" s="4">
        <f t="shared" si="6"/>
        <v>60000</v>
      </c>
      <c r="L47" s="4">
        <f t="shared" si="7"/>
        <v>9</v>
      </c>
      <c r="M47" s="4">
        <f t="shared" si="8"/>
        <v>24000</v>
      </c>
      <c r="N47" s="6">
        <f>MONTH(B:B)</f>
        <v>9</v>
      </c>
      <c r="O47" s="6">
        <f t="shared" si="12"/>
        <v>2025</v>
      </c>
      <c r="P47" s="6" t="str">
        <f t="shared" si="13"/>
        <v>Q3</v>
      </c>
      <c r="Q47" s="6" t="str">
        <f t="shared" si="9"/>
        <v>Profit</v>
      </c>
      <c r="R47" s="6" t="str">
        <f t="shared" si="3"/>
        <v>Normal</v>
      </c>
      <c r="S47" t="str">
        <f t="shared" si="10"/>
        <v>Pending</v>
      </c>
    </row>
    <row r="48" spans="1:20" x14ac:dyDescent="0.3">
      <c r="A48" s="4" t="s">
        <v>271</v>
      </c>
      <c r="B48" s="5">
        <v>44502</v>
      </c>
      <c r="C48" s="4" t="s">
        <v>11</v>
      </c>
      <c r="D48" s="4" t="s">
        <v>58</v>
      </c>
      <c r="E48" s="4" t="s">
        <v>187</v>
      </c>
      <c r="F48" s="6" t="s">
        <v>209</v>
      </c>
      <c r="G48" s="4">
        <v>8</v>
      </c>
      <c r="H48" s="4">
        <v>1500</v>
      </c>
      <c r="I48" s="4">
        <v>3000</v>
      </c>
      <c r="J48" s="4">
        <f t="shared" si="5"/>
        <v>12000</v>
      </c>
      <c r="K48" s="4">
        <f t="shared" si="6"/>
        <v>24000</v>
      </c>
      <c r="L48" s="4">
        <f t="shared" si="7"/>
        <v>11</v>
      </c>
      <c r="M48" s="4">
        <f t="shared" si="8"/>
        <v>12000</v>
      </c>
      <c r="N48" s="6">
        <f t="shared" si="11"/>
        <v>11</v>
      </c>
      <c r="O48" s="6">
        <f t="shared" si="12"/>
        <v>2021</v>
      </c>
      <c r="P48" s="6" t="str">
        <f t="shared" si="13"/>
        <v>Q4</v>
      </c>
      <c r="Q48" s="6" t="str">
        <f t="shared" si="9"/>
        <v>Profit</v>
      </c>
      <c r="R48" s="6" t="str">
        <f t="shared" ref="R48:R111" si="14">IF(K49&gt;50000,"Top Seller","Normal")</f>
        <v>Top Seller</v>
      </c>
      <c r="S48" t="str">
        <f t="shared" si="10"/>
        <v>Pending</v>
      </c>
    </row>
    <row r="49" spans="1:19" x14ac:dyDescent="0.3">
      <c r="A49" s="4" t="s">
        <v>272</v>
      </c>
      <c r="B49" s="5">
        <v>44600</v>
      </c>
      <c r="C49" s="4" t="s">
        <v>12</v>
      </c>
      <c r="D49" s="4" t="s">
        <v>59</v>
      </c>
      <c r="E49" s="4" t="s">
        <v>201</v>
      </c>
      <c r="F49" s="6" t="s">
        <v>207</v>
      </c>
      <c r="G49" s="4">
        <v>7</v>
      </c>
      <c r="H49" s="4">
        <v>12000</v>
      </c>
      <c r="I49" s="4">
        <v>18000</v>
      </c>
      <c r="J49" s="4">
        <f t="shared" si="5"/>
        <v>84000</v>
      </c>
      <c r="K49" s="4">
        <f t="shared" si="6"/>
        <v>126000</v>
      </c>
      <c r="L49" s="4">
        <f t="shared" si="7"/>
        <v>2</v>
      </c>
      <c r="M49" s="4">
        <f t="shared" si="8"/>
        <v>42000</v>
      </c>
      <c r="N49" s="6">
        <f t="shared" si="11"/>
        <v>2</v>
      </c>
      <c r="O49" s="6">
        <f t="shared" si="12"/>
        <v>2022</v>
      </c>
      <c r="P49" s="6" t="str">
        <f t="shared" si="13"/>
        <v>Q1</v>
      </c>
      <c r="Q49" s="6" t="str">
        <f t="shared" si="9"/>
        <v>Profit</v>
      </c>
      <c r="R49" s="6" t="str">
        <f t="shared" si="14"/>
        <v>Top Seller</v>
      </c>
      <c r="S49" t="str">
        <f t="shared" si="10"/>
        <v>Pending</v>
      </c>
    </row>
    <row r="50" spans="1:19" x14ac:dyDescent="0.3">
      <c r="A50" s="4" t="s">
        <v>273</v>
      </c>
      <c r="B50" s="5">
        <v>45127</v>
      </c>
      <c r="C50" s="4" t="s">
        <v>10</v>
      </c>
      <c r="D50" s="4" t="s">
        <v>60</v>
      </c>
      <c r="E50" s="4" t="s">
        <v>189</v>
      </c>
      <c r="F50" s="6" t="s">
        <v>214</v>
      </c>
      <c r="G50" s="4">
        <v>6</v>
      </c>
      <c r="H50" s="4">
        <v>6000</v>
      </c>
      <c r="I50" s="4">
        <v>10000</v>
      </c>
      <c r="J50" s="4">
        <f t="shared" si="5"/>
        <v>36000</v>
      </c>
      <c r="K50" s="4">
        <f t="shared" si="6"/>
        <v>60000</v>
      </c>
      <c r="L50" s="4">
        <f t="shared" si="7"/>
        <v>7</v>
      </c>
      <c r="M50" s="4">
        <f t="shared" si="8"/>
        <v>24000</v>
      </c>
      <c r="N50" s="6">
        <f t="shared" si="11"/>
        <v>7</v>
      </c>
      <c r="O50" s="6">
        <f t="shared" si="12"/>
        <v>2023</v>
      </c>
      <c r="P50" s="6" t="str">
        <f t="shared" si="13"/>
        <v>Q3</v>
      </c>
      <c r="Q50" s="6" t="str">
        <f t="shared" si="9"/>
        <v>Profit</v>
      </c>
      <c r="R50" s="6" t="str">
        <f t="shared" si="14"/>
        <v>Normal</v>
      </c>
      <c r="S50" t="str">
        <f t="shared" si="10"/>
        <v>Pending</v>
      </c>
    </row>
    <row r="51" spans="1:19" x14ac:dyDescent="0.3">
      <c r="A51" s="4" t="s">
        <v>274</v>
      </c>
      <c r="B51" s="5">
        <v>44002</v>
      </c>
      <c r="C51" s="4" t="s">
        <v>10</v>
      </c>
      <c r="D51" s="4" t="s">
        <v>61</v>
      </c>
      <c r="E51" s="4" t="s">
        <v>197</v>
      </c>
      <c r="F51" s="6" t="s">
        <v>212</v>
      </c>
      <c r="G51" s="4">
        <v>8</v>
      </c>
      <c r="H51" s="4">
        <v>1500</v>
      </c>
      <c r="I51" s="4">
        <v>3000</v>
      </c>
      <c r="J51" s="4">
        <f t="shared" si="5"/>
        <v>12000</v>
      </c>
      <c r="K51" s="4">
        <f t="shared" si="6"/>
        <v>24000</v>
      </c>
      <c r="L51" s="4">
        <f t="shared" si="7"/>
        <v>6</v>
      </c>
      <c r="M51" s="4">
        <f t="shared" si="8"/>
        <v>12000</v>
      </c>
      <c r="N51" s="6">
        <f t="shared" si="11"/>
        <v>6</v>
      </c>
      <c r="O51" s="6">
        <f t="shared" si="12"/>
        <v>2020</v>
      </c>
      <c r="P51" s="6" t="str">
        <f t="shared" si="13"/>
        <v>Q2</v>
      </c>
      <c r="Q51" s="6" t="str">
        <f t="shared" si="9"/>
        <v>Profit</v>
      </c>
      <c r="R51" s="6" t="str">
        <f t="shared" si="14"/>
        <v>Top Seller</v>
      </c>
      <c r="S51" t="str">
        <f t="shared" si="10"/>
        <v>Pending</v>
      </c>
    </row>
    <row r="52" spans="1:19" x14ac:dyDescent="0.3">
      <c r="A52" s="4" t="s">
        <v>275</v>
      </c>
      <c r="B52" s="5">
        <v>44117</v>
      </c>
      <c r="C52" s="4" t="s">
        <v>9</v>
      </c>
      <c r="D52" s="4" t="s">
        <v>62</v>
      </c>
      <c r="E52" s="4" t="s">
        <v>188</v>
      </c>
      <c r="F52" s="6" t="s">
        <v>216</v>
      </c>
      <c r="G52" s="4">
        <v>4</v>
      </c>
      <c r="H52" s="4">
        <v>20000</v>
      </c>
      <c r="I52" s="4">
        <v>30000</v>
      </c>
      <c r="J52" s="4">
        <f t="shared" si="5"/>
        <v>80000</v>
      </c>
      <c r="K52" s="4">
        <f t="shared" si="6"/>
        <v>120000</v>
      </c>
      <c r="L52" s="4">
        <f t="shared" si="7"/>
        <v>10</v>
      </c>
      <c r="M52" s="4">
        <f t="shared" si="8"/>
        <v>40000</v>
      </c>
      <c r="N52" s="6">
        <f t="shared" si="11"/>
        <v>10</v>
      </c>
      <c r="O52" s="6">
        <f t="shared" si="12"/>
        <v>2020</v>
      </c>
      <c r="P52" s="6" t="str">
        <f t="shared" si="13"/>
        <v>Q4</v>
      </c>
      <c r="Q52" s="6" t="str">
        <f t="shared" si="9"/>
        <v>Profit</v>
      </c>
      <c r="R52" s="6" t="str">
        <f t="shared" si="14"/>
        <v>Top Seller</v>
      </c>
      <c r="S52" t="str">
        <f t="shared" si="10"/>
        <v>Pending</v>
      </c>
    </row>
    <row r="53" spans="1:19" x14ac:dyDescent="0.3">
      <c r="A53" s="4" t="s">
        <v>276</v>
      </c>
      <c r="B53" s="5">
        <v>45135</v>
      </c>
      <c r="C53" s="4" t="s">
        <v>9</v>
      </c>
      <c r="D53" s="4" t="s">
        <v>63</v>
      </c>
      <c r="E53" s="4" t="s">
        <v>205</v>
      </c>
      <c r="F53" s="6" t="s">
        <v>214</v>
      </c>
      <c r="G53" s="4">
        <v>5</v>
      </c>
      <c r="H53" s="4">
        <v>20000</v>
      </c>
      <c r="I53" s="4">
        <v>30000</v>
      </c>
      <c r="J53" s="4">
        <f t="shared" si="5"/>
        <v>100000</v>
      </c>
      <c r="K53" s="4">
        <f t="shared" si="6"/>
        <v>150000</v>
      </c>
      <c r="L53" s="4">
        <f t="shared" si="7"/>
        <v>7</v>
      </c>
      <c r="M53" s="4">
        <f t="shared" si="8"/>
        <v>50000</v>
      </c>
      <c r="N53" s="6">
        <f t="shared" si="11"/>
        <v>7</v>
      </c>
      <c r="O53" s="6">
        <f t="shared" si="12"/>
        <v>2023</v>
      </c>
      <c r="P53" s="6" t="str">
        <f t="shared" si="13"/>
        <v>Q3</v>
      </c>
      <c r="Q53" s="6" t="str">
        <f t="shared" si="9"/>
        <v>Profit</v>
      </c>
      <c r="R53" s="6" t="str">
        <f t="shared" si="14"/>
        <v>Normal</v>
      </c>
      <c r="S53" t="str">
        <f t="shared" si="10"/>
        <v>Pending</v>
      </c>
    </row>
    <row r="54" spans="1:19" x14ac:dyDescent="0.3">
      <c r="A54" s="4" t="s">
        <v>277</v>
      </c>
      <c r="B54" s="5">
        <v>45074</v>
      </c>
      <c r="C54" s="4" t="s">
        <v>11</v>
      </c>
      <c r="D54" s="4" t="s">
        <v>64</v>
      </c>
      <c r="E54" s="4" t="s">
        <v>198</v>
      </c>
      <c r="F54" s="6" t="s">
        <v>209</v>
      </c>
      <c r="G54" s="4">
        <v>3</v>
      </c>
      <c r="H54" s="4">
        <v>6000</v>
      </c>
      <c r="I54" s="4">
        <v>10000</v>
      </c>
      <c r="J54" s="4">
        <f t="shared" si="5"/>
        <v>18000</v>
      </c>
      <c r="K54" s="4">
        <f t="shared" si="6"/>
        <v>30000</v>
      </c>
      <c r="L54" s="4">
        <f t="shared" si="7"/>
        <v>5</v>
      </c>
      <c r="M54" s="4">
        <f t="shared" si="8"/>
        <v>12000</v>
      </c>
      <c r="N54" s="6">
        <f t="shared" si="11"/>
        <v>5</v>
      </c>
      <c r="O54" s="6">
        <f t="shared" si="12"/>
        <v>2023</v>
      </c>
      <c r="P54" s="6" t="str">
        <f t="shared" si="13"/>
        <v>Q2</v>
      </c>
      <c r="Q54" s="6" t="str">
        <f t="shared" si="9"/>
        <v>Profit</v>
      </c>
      <c r="R54" s="6" t="str">
        <f t="shared" si="14"/>
        <v>Top Seller</v>
      </c>
      <c r="S54" t="str">
        <f t="shared" si="10"/>
        <v>Pending</v>
      </c>
    </row>
    <row r="55" spans="1:19" x14ac:dyDescent="0.3">
      <c r="A55" s="4" t="s">
        <v>278</v>
      </c>
      <c r="B55" s="5">
        <v>44635</v>
      </c>
      <c r="C55" s="4" t="s">
        <v>9</v>
      </c>
      <c r="D55" s="4" t="s">
        <v>65</v>
      </c>
      <c r="E55" s="4" t="s">
        <v>202</v>
      </c>
      <c r="F55" s="6" t="s">
        <v>215</v>
      </c>
      <c r="G55" s="4">
        <v>8</v>
      </c>
      <c r="H55" s="4">
        <v>35000</v>
      </c>
      <c r="I55" s="4">
        <v>52000</v>
      </c>
      <c r="J55" s="4">
        <f t="shared" si="5"/>
        <v>280000</v>
      </c>
      <c r="K55" s="4">
        <f t="shared" si="6"/>
        <v>416000</v>
      </c>
      <c r="L55" s="4">
        <f t="shared" si="7"/>
        <v>3</v>
      </c>
      <c r="M55" s="4">
        <f t="shared" si="8"/>
        <v>136000</v>
      </c>
      <c r="N55" s="6">
        <f t="shared" si="11"/>
        <v>3</v>
      </c>
      <c r="O55" s="6">
        <f t="shared" si="12"/>
        <v>2022</v>
      </c>
      <c r="P55" s="6" t="str">
        <f t="shared" si="13"/>
        <v>Q1</v>
      </c>
      <c r="Q55" s="6" t="str">
        <f t="shared" si="9"/>
        <v>Profit</v>
      </c>
      <c r="R55" s="6" t="str">
        <f t="shared" si="14"/>
        <v>Top Seller</v>
      </c>
      <c r="S55" t="str">
        <f t="shared" si="10"/>
        <v>Pending</v>
      </c>
    </row>
    <row r="56" spans="1:19" x14ac:dyDescent="0.3">
      <c r="A56" s="4" t="s">
        <v>279</v>
      </c>
      <c r="B56" s="5">
        <v>45900</v>
      </c>
      <c r="C56" s="4" t="s">
        <v>9</v>
      </c>
      <c r="D56" s="4" t="s">
        <v>66</v>
      </c>
      <c r="E56" s="4" t="s">
        <v>204</v>
      </c>
      <c r="F56" s="6" t="s">
        <v>211</v>
      </c>
      <c r="G56" s="4">
        <v>6</v>
      </c>
      <c r="H56" s="4">
        <v>35000</v>
      </c>
      <c r="I56" s="4">
        <v>52000</v>
      </c>
      <c r="J56" s="4">
        <f t="shared" si="5"/>
        <v>210000</v>
      </c>
      <c r="K56" s="4">
        <f t="shared" si="6"/>
        <v>312000</v>
      </c>
      <c r="L56" s="4">
        <f t="shared" si="7"/>
        <v>8</v>
      </c>
      <c r="M56" s="4">
        <f t="shared" si="8"/>
        <v>102000</v>
      </c>
      <c r="N56" s="6">
        <f t="shared" si="11"/>
        <v>8</v>
      </c>
      <c r="O56" s="6">
        <f t="shared" si="12"/>
        <v>2025</v>
      </c>
      <c r="P56" s="6" t="str">
        <f t="shared" si="13"/>
        <v>Q3</v>
      </c>
      <c r="Q56" s="6" t="str">
        <f t="shared" si="9"/>
        <v>Profit</v>
      </c>
      <c r="R56" s="6" t="str">
        <f t="shared" si="14"/>
        <v>Top Seller</v>
      </c>
      <c r="S56" t="str">
        <f t="shared" si="10"/>
        <v>Pending</v>
      </c>
    </row>
    <row r="57" spans="1:19" x14ac:dyDescent="0.3">
      <c r="A57" s="4" t="s">
        <v>280</v>
      </c>
      <c r="B57" s="5">
        <v>45214</v>
      </c>
      <c r="C57" s="4" t="s">
        <v>12</v>
      </c>
      <c r="D57" s="4" t="s">
        <v>67</v>
      </c>
      <c r="E57" s="4" t="s">
        <v>196</v>
      </c>
      <c r="F57" s="6" t="s">
        <v>208</v>
      </c>
      <c r="G57" s="4">
        <v>4</v>
      </c>
      <c r="H57" s="4">
        <v>20000</v>
      </c>
      <c r="I57" s="4">
        <v>30000</v>
      </c>
      <c r="J57" s="4">
        <f t="shared" si="5"/>
        <v>80000</v>
      </c>
      <c r="K57" s="4">
        <f t="shared" si="6"/>
        <v>120000</v>
      </c>
      <c r="L57" s="4">
        <f t="shared" si="7"/>
        <v>10</v>
      </c>
      <c r="M57" s="4">
        <f t="shared" si="8"/>
        <v>40000</v>
      </c>
      <c r="N57" s="6">
        <f t="shared" si="11"/>
        <v>10</v>
      </c>
      <c r="O57" s="6">
        <f t="shared" si="12"/>
        <v>2023</v>
      </c>
      <c r="P57" s="6" t="str">
        <f t="shared" si="13"/>
        <v>Q4</v>
      </c>
      <c r="Q57" s="6" t="str">
        <f t="shared" si="9"/>
        <v>Profit</v>
      </c>
      <c r="R57" s="6" t="str">
        <f t="shared" si="14"/>
        <v>Top Seller</v>
      </c>
      <c r="S57" t="str">
        <f t="shared" si="10"/>
        <v>Pending</v>
      </c>
    </row>
    <row r="58" spans="1:19" x14ac:dyDescent="0.3">
      <c r="A58" s="4" t="s">
        <v>281</v>
      </c>
      <c r="B58" s="5">
        <v>44845</v>
      </c>
      <c r="C58" s="4" t="s">
        <v>9</v>
      </c>
      <c r="D58" s="4" t="s">
        <v>68</v>
      </c>
      <c r="E58" s="4" t="s">
        <v>194</v>
      </c>
      <c r="F58" s="6" t="s">
        <v>214</v>
      </c>
      <c r="G58" s="4">
        <v>2</v>
      </c>
      <c r="H58" s="4">
        <v>35000</v>
      </c>
      <c r="I58" s="4">
        <v>52000</v>
      </c>
      <c r="J58" s="4">
        <f t="shared" si="5"/>
        <v>70000</v>
      </c>
      <c r="K58" s="4">
        <f t="shared" si="6"/>
        <v>104000</v>
      </c>
      <c r="L58" s="4">
        <f t="shared" si="7"/>
        <v>10</v>
      </c>
      <c r="M58" s="4">
        <f t="shared" si="8"/>
        <v>34000</v>
      </c>
      <c r="N58" s="6">
        <f t="shared" si="11"/>
        <v>10</v>
      </c>
      <c r="O58" s="6">
        <f t="shared" si="12"/>
        <v>2022</v>
      </c>
      <c r="P58" s="6" t="str">
        <f t="shared" si="13"/>
        <v>Q4</v>
      </c>
      <c r="Q58" s="6" t="str">
        <f t="shared" si="9"/>
        <v>Profit</v>
      </c>
      <c r="R58" s="6" t="str">
        <f t="shared" si="14"/>
        <v>Top Seller</v>
      </c>
      <c r="S58" t="str">
        <f t="shared" si="10"/>
        <v>Cancelled</v>
      </c>
    </row>
    <row r="59" spans="1:19" x14ac:dyDescent="0.3">
      <c r="A59" s="4" t="s">
        <v>282</v>
      </c>
      <c r="B59" s="5">
        <v>44541</v>
      </c>
      <c r="C59" s="4" t="s">
        <v>10</v>
      </c>
      <c r="D59" s="4" t="s">
        <v>35</v>
      </c>
      <c r="E59" s="4" t="s">
        <v>200</v>
      </c>
      <c r="F59" s="6" t="s">
        <v>208</v>
      </c>
      <c r="G59" s="4">
        <v>10</v>
      </c>
      <c r="H59" s="4">
        <v>12000</v>
      </c>
      <c r="I59" s="4">
        <v>18000</v>
      </c>
      <c r="J59" s="4">
        <f t="shared" si="5"/>
        <v>120000</v>
      </c>
      <c r="K59" s="4">
        <f t="shared" si="6"/>
        <v>180000</v>
      </c>
      <c r="L59" s="4">
        <f t="shared" si="7"/>
        <v>12</v>
      </c>
      <c r="M59" s="4">
        <f t="shared" si="8"/>
        <v>60000</v>
      </c>
      <c r="N59" s="6">
        <f t="shared" si="11"/>
        <v>12</v>
      </c>
      <c r="O59" s="6">
        <f t="shared" si="12"/>
        <v>2021</v>
      </c>
      <c r="P59" s="6" t="str">
        <f t="shared" si="13"/>
        <v>Q4</v>
      </c>
      <c r="Q59" s="6" t="str">
        <f t="shared" si="9"/>
        <v>Profit</v>
      </c>
      <c r="R59" s="6" t="str">
        <f t="shared" si="14"/>
        <v>Normal</v>
      </c>
      <c r="S59" t="str">
        <f t="shared" si="10"/>
        <v>Completed</v>
      </c>
    </row>
    <row r="60" spans="1:19" x14ac:dyDescent="0.3">
      <c r="A60" s="4" t="s">
        <v>283</v>
      </c>
      <c r="B60" s="5">
        <v>45809</v>
      </c>
      <c r="C60" s="4" t="s">
        <v>12</v>
      </c>
      <c r="D60" s="4" t="s">
        <v>69</v>
      </c>
      <c r="E60" s="4" t="s">
        <v>194</v>
      </c>
      <c r="F60" s="6" t="s">
        <v>207</v>
      </c>
      <c r="G60" s="4">
        <v>6</v>
      </c>
      <c r="H60" s="4">
        <v>1500</v>
      </c>
      <c r="I60" s="4">
        <v>3000</v>
      </c>
      <c r="J60" s="4">
        <f t="shared" si="5"/>
        <v>9000</v>
      </c>
      <c r="K60" s="4">
        <f t="shared" si="6"/>
        <v>18000</v>
      </c>
      <c r="L60" s="4">
        <f t="shared" si="7"/>
        <v>6</v>
      </c>
      <c r="M60" s="4">
        <f t="shared" si="8"/>
        <v>9000</v>
      </c>
      <c r="N60" s="6">
        <f t="shared" si="11"/>
        <v>6</v>
      </c>
      <c r="O60" s="6">
        <f t="shared" si="12"/>
        <v>2025</v>
      </c>
      <c r="P60" s="6" t="str">
        <f t="shared" si="13"/>
        <v>Q2</v>
      </c>
      <c r="Q60" s="6" t="str">
        <f t="shared" si="9"/>
        <v>Profit</v>
      </c>
      <c r="R60" s="6" t="str">
        <f t="shared" si="14"/>
        <v>Top Seller</v>
      </c>
      <c r="S60" t="str">
        <f t="shared" si="10"/>
        <v>Pending</v>
      </c>
    </row>
    <row r="61" spans="1:19" x14ac:dyDescent="0.3">
      <c r="A61" s="4" t="s">
        <v>284</v>
      </c>
      <c r="B61" s="5">
        <v>44407</v>
      </c>
      <c r="C61" s="4" t="s">
        <v>10</v>
      </c>
      <c r="D61" s="4" t="s">
        <v>70</v>
      </c>
      <c r="E61" s="4" t="s">
        <v>192</v>
      </c>
      <c r="F61" s="6" t="s">
        <v>212</v>
      </c>
      <c r="G61" s="4">
        <v>4</v>
      </c>
      <c r="H61" s="4">
        <v>35000</v>
      </c>
      <c r="I61" s="4">
        <v>52000</v>
      </c>
      <c r="J61" s="4">
        <f t="shared" si="5"/>
        <v>140000</v>
      </c>
      <c r="K61" s="4">
        <f t="shared" si="6"/>
        <v>208000</v>
      </c>
      <c r="L61" s="4">
        <f t="shared" si="7"/>
        <v>7</v>
      </c>
      <c r="M61" s="4">
        <f t="shared" si="8"/>
        <v>68000</v>
      </c>
      <c r="N61" s="6">
        <f t="shared" si="11"/>
        <v>7</v>
      </c>
      <c r="O61" s="6">
        <f t="shared" si="12"/>
        <v>2021</v>
      </c>
      <c r="P61" s="6" t="str">
        <f t="shared" si="13"/>
        <v>Q3</v>
      </c>
      <c r="Q61" s="6" t="str">
        <f t="shared" si="9"/>
        <v>Profit</v>
      </c>
      <c r="R61" s="6" t="str">
        <f t="shared" si="14"/>
        <v>Top Seller</v>
      </c>
      <c r="S61" t="str">
        <f t="shared" si="10"/>
        <v>Pending</v>
      </c>
    </row>
    <row r="62" spans="1:19" x14ac:dyDescent="0.3">
      <c r="A62" s="4" t="s">
        <v>285</v>
      </c>
      <c r="B62" s="5">
        <v>45721</v>
      </c>
      <c r="C62" s="4" t="s">
        <v>10</v>
      </c>
      <c r="D62" s="4" t="s">
        <v>71</v>
      </c>
      <c r="E62" s="4" t="s">
        <v>187</v>
      </c>
      <c r="F62" s="6" t="s">
        <v>212</v>
      </c>
      <c r="G62" s="4">
        <v>10</v>
      </c>
      <c r="H62" s="4">
        <v>20000</v>
      </c>
      <c r="I62" s="4">
        <v>30000</v>
      </c>
      <c r="J62" s="4">
        <f t="shared" si="5"/>
        <v>200000</v>
      </c>
      <c r="K62" s="4">
        <f t="shared" si="6"/>
        <v>300000</v>
      </c>
      <c r="L62" s="4">
        <f t="shared" si="7"/>
        <v>3</v>
      </c>
      <c r="M62" s="4">
        <f t="shared" si="8"/>
        <v>100000</v>
      </c>
      <c r="N62" s="6">
        <f t="shared" si="11"/>
        <v>3</v>
      </c>
      <c r="O62" s="6">
        <f t="shared" si="12"/>
        <v>2025</v>
      </c>
      <c r="P62" s="6" t="str">
        <f t="shared" si="13"/>
        <v>Q1</v>
      </c>
      <c r="Q62" s="6" t="str">
        <f t="shared" si="9"/>
        <v>Profit</v>
      </c>
      <c r="R62" s="6" t="str">
        <f t="shared" si="14"/>
        <v>Top Seller</v>
      </c>
      <c r="S62" t="str">
        <f t="shared" si="10"/>
        <v>Completed</v>
      </c>
    </row>
    <row r="63" spans="1:19" x14ac:dyDescent="0.3">
      <c r="A63" s="4" t="s">
        <v>286</v>
      </c>
      <c r="B63" s="5">
        <v>44211</v>
      </c>
      <c r="C63" s="4" t="s">
        <v>9</v>
      </c>
      <c r="D63" s="4" t="s">
        <v>72</v>
      </c>
      <c r="E63" s="4" t="s">
        <v>188</v>
      </c>
      <c r="F63" s="6" t="s">
        <v>214</v>
      </c>
      <c r="G63" s="4">
        <v>10</v>
      </c>
      <c r="H63" s="4">
        <v>35000</v>
      </c>
      <c r="I63" s="4">
        <v>52000</v>
      </c>
      <c r="J63" s="4">
        <f t="shared" si="5"/>
        <v>350000</v>
      </c>
      <c r="K63" s="4">
        <f t="shared" si="6"/>
        <v>520000</v>
      </c>
      <c r="L63" s="4">
        <f t="shared" si="7"/>
        <v>1</v>
      </c>
      <c r="M63" s="4">
        <f t="shared" si="8"/>
        <v>170000</v>
      </c>
      <c r="N63" s="6">
        <f t="shared" si="11"/>
        <v>1</v>
      </c>
      <c r="O63" s="6">
        <f t="shared" si="12"/>
        <v>2021</v>
      </c>
      <c r="P63" s="6" t="str">
        <f t="shared" si="13"/>
        <v>Q1</v>
      </c>
      <c r="Q63" s="6" t="str">
        <f t="shared" si="9"/>
        <v>Profit</v>
      </c>
      <c r="R63" s="6" t="str">
        <f t="shared" si="14"/>
        <v>Normal</v>
      </c>
      <c r="S63" t="str">
        <f t="shared" si="10"/>
        <v>Completed</v>
      </c>
    </row>
    <row r="64" spans="1:19" x14ac:dyDescent="0.3">
      <c r="A64" s="4" t="s">
        <v>287</v>
      </c>
      <c r="B64" s="5">
        <v>45630</v>
      </c>
      <c r="C64" s="4" t="s">
        <v>12</v>
      </c>
      <c r="D64" s="4" t="s">
        <v>73</v>
      </c>
      <c r="E64" s="4" t="s">
        <v>197</v>
      </c>
      <c r="F64" s="6" t="s">
        <v>207</v>
      </c>
      <c r="G64" s="4">
        <v>1</v>
      </c>
      <c r="H64" s="4">
        <v>12000</v>
      </c>
      <c r="I64" s="4">
        <v>18000</v>
      </c>
      <c r="J64" s="4">
        <f t="shared" si="5"/>
        <v>12000</v>
      </c>
      <c r="K64" s="4">
        <f t="shared" si="6"/>
        <v>18000</v>
      </c>
      <c r="L64" s="4">
        <f t="shared" si="7"/>
        <v>12</v>
      </c>
      <c r="M64" s="4">
        <f t="shared" si="8"/>
        <v>6000</v>
      </c>
      <c r="N64" s="6">
        <f t="shared" si="11"/>
        <v>12</v>
      </c>
      <c r="O64" s="6">
        <f t="shared" si="12"/>
        <v>2024</v>
      </c>
      <c r="P64" s="6" t="str">
        <f t="shared" si="13"/>
        <v>Q4</v>
      </c>
      <c r="Q64" s="6" t="str">
        <f t="shared" si="9"/>
        <v>Profit</v>
      </c>
      <c r="R64" s="6" t="str">
        <f t="shared" si="14"/>
        <v>Normal</v>
      </c>
      <c r="S64" t="str">
        <f t="shared" si="10"/>
        <v>Cancelled</v>
      </c>
    </row>
    <row r="65" spans="1:19" x14ac:dyDescent="0.3">
      <c r="A65" s="4" t="s">
        <v>288</v>
      </c>
      <c r="B65" s="5">
        <v>45750</v>
      </c>
      <c r="C65" s="4" t="s">
        <v>9</v>
      </c>
      <c r="D65" s="4" t="s">
        <v>65</v>
      </c>
      <c r="E65" s="4" t="s">
        <v>193</v>
      </c>
      <c r="F65" s="6" t="s">
        <v>214</v>
      </c>
      <c r="G65" s="4">
        <v>5</v>
      </c>
      <c r="H65" s="4">
        <v>6000</v>
      </c>
      <c r="I65" s="4">
        <v>10000</v>
      </c>
      <c r="J65" s="4">
        <f t="shared" si="5"/>
        <v>30000</v>
      </c>
      <c r="K65" s="4">
        <f t="shared" si="6"/>
        <v>50000</v>
      </c>
      <c r="L65" s="4">
        <f t="shared" si="7"/>
        <v>4</v>
      </c>
      <c r="M65" s="4">
        <f t="shared" si="8"/>
        <v>20000</v>
      </c>
      <c r="N65" s="6">
        <f t="shared" si="11"/>
        <v>4</v>
      </c>
      <c r="O65" s="6">
        <f t="shared" si="12"/>
        <v>2025</v>
      </c>
      <c r="P65" s="6" t="str">
        <f t="shared" si="13"/>
        <v>Q2</v>
      </c>
      <c r="Q65" s="6" t="str">
        <f t="shared" si="9"/>
        <v>Profit</v>
      </c>
      <c r="R65" s="6" t="str">
        <f t="shared" si="14"/>
        <v>Top Seller</v>
      </c>
      <c r="S65" t="str">
        <f t="shared" si="10"/>
        <v>Pending</v>
      </c>
    </row>
    <row r="66" spans="1:19" x14ac:dyDescent="0.3">
      <c r="A66" s="4" t="s">
        <v>289</v>
      </c>
      <c r="B66" s="5">
        <v>44909</v>
      </c>
      <c r="C66" s="4" t="s">
        <v>10</v>
      </c>
      <c r="D66" s="4" t="s">
        <v>74</v>
      </c>
      <c r="E66" s="4" t="s">
        <v>197</v>
      </c>
      <c r="F66" s="6" t="s">
        <v>207</v>
      </c>
      <c r="G66" s="4">
        <v>3</v>
      </c>
      <c r="H66" s="4">
        <v>12000</v>
      </c>
      <c r="I66" s="4">
        <v>18000</v>
      </c>
      <c r="J66" s="4">
        <f t="shared" si="5"/>
        <v>36000</v>
      </c>
      <c r="K66" s="4">
        <f t="shared" si="6"/>
        <v>54000</v>
      </c>
      <c r="L66" s="4">
        <f t="shared" si="7"/>
        <v>12</v>
      </c>
      <c r="M66" s="4">
        <f t="shared" si="8"/>
        <v>18000</v>
      </c>
      <c r="N66" s="6">
        <f t="shared" ref="N66:N97" si="15">MONTH(B:B)</f>
        <v>12</v>
      </c>
      <c r="O66" s="6">
        <f t="shared" ref="O66:O97" si="16">YEAR(B:B)</f>
        <v>2022</v>
      </c>
      <c r="P66" s="6" t="str">
        <f t="shared" ref="P66:P97" si="17">"Q"&amp;ROUNDUP(MONTH(B:B)/3,0)</f>
        <v>Q4</v>
      </c>
      <c r="Q66" s="6" t="str">
        <f t="shared" si="9"/>
        <v>Profit</v>
      </c>
      <c r="R66" s="6" t="str">
        <f t="shared" si="14"/>
        <v>Normal</v>
      </c>
      <c r="S66" t="str">
        <f t="shared" si="10"/>
        <v>Pending</v>
      </c>
    </row>
    <row r="67" spans="1:19" x14ac:dyDescent="0.3">
      <c r="A67" s="4" t="s">
        <v>290</v>
      </c>
      <c r="B67" s="5">
        <v>45563</v>
      </c>
      <c r="C67" s="4" t="s">
        <v>10</v>
      </c>
      <c r="D67" s="4" t="s">
        <v>75</v>
      </c>
      <c r="E67" s="4" t="s">
        <v>192</v>
      </c>
      <c r="F67" s="6" t="s">
        <v>209</v>
      </c>
      <c r="G67" s="4">
        <v>1</v>
      </c>
      <c r="H67" s="4">
        <v>1500</v>
      </c>
      <c r="I67" s="4">
        <v>3000</v>
      </c>
      <c r="J67" s="4">
        <f t="shared" ref="J67:J130" si="18">H67*G67</f>
        <v>1500</v>
      </c>
      <c r="K67" s="4">
        <f t="shared" ref="K67:K130" si="19">G67*I67</f>
        <v>3000</v>
      </c>
      <c r="L67" s="4">
        <f t="shared" ref="L67:L130" si="20">MONTH(B:B)</f>
        <v>9</v>
      </c>
      <c r="M67" s="4">
        <f t="shared" ref="M67:M130" si="21">K67-J67</f>
        <v>1500</v>
      </c>
      <c r="N67" s="6">
        <f t="shared" si="15"/>
        <v>9</v>
      </c>
      <c r="O67" s="6">
        <f t="shared" si="16"/>
        <v>2024</v>
      </c>
      <c r="P67" s="6" t="str">
        <f t="shared" si="17"/>
        <v>Q3</v>
      </c>
      <c r="Q67" s="6" t="str">
        <f t="shared" ref="Q67:Q130" si="22">IF(M67&gt;0,"Profit",IF(M67=0,"Break Even"))</f>
        <v>Profit</v>
      </c>
      <c r="R67" s="6" t="str">
        <f t="shared" si="14"/>
        <v>Top Seller</v>
      </c>
      <c r="S67" t="str">
        <f t="shared" si="10"/>
        <v>Cancelled</v>
      </c>
    </row>
    <row r="68" spans="1:19" x14ac:dyDescent="0.3">
      <c r="A68" s="4" t="s">
        <v>291</v>
      </c>
      <c r="B68" s="5">
        <v>44590</v>
      </c>
      <c r="C68" s="4" t="s">
        <v>10</v>
      </c>
      <c r="D68" s="4" t="s">
        <v>76</v>
      </c>
      <c r="E68" s="4" t="s">
        <v>191</v>
      </c>
      <c r="F68" s="6" t="s">
        <v>211</v>
      </c>
      <c r="G68" s="4">
        <v>1</v>
      </c>
      <c r="H68" s="4">
        <v>35000</v>
      </c>
      <c r="I68" s="4">
        <v>52000</v>
      </c>
      <c r="J68" s="4">
        <f t="shared" si="18"/>
        <v>35000</v>
      </c>
      <c r="K68" s="4">
        <f t="shared" si="19"/>
        <v>52000</v>
      </c>
      <c r="L68" s="4">
        <f t="shared" si="20"/>
        <v>1</v>
      </c>
      <c r="M68" s="4">
        <f t="shared" si="21"/>
        <v>17000</v>
      </c>
      <c r="N68" s="6">
        <f t="shared" si="15"/>
        <v>1</v>
      </c>
      <c r="O68" s="6">
        <f t="shared" si="16"/>
        <v>2022</v>
      </c>
      <c r="P68" s="6" t="str">
        <f t="shared" si="17"/>
        <v>Q1</v>
      </c>
      <c r="Q68" s="6" t="str">
        <f t="shared" si="22"/>
        <v>Profit</v>
      </c>
      <c r="R68" s="6" t="str">
        <f t="shared" si="14"/>
        <v>Top Seller</v>
      </c>
      <c r="S68" t="str">
        <f t="shared" ref="S68:S131" si="23">IF(G68&lt;=2,"Cancelled",IF(G68=10,"Completed","Pending"))</f>
        <v>Cancelled</v>
      </c>
    </row>
    <row r="69" spans="1:19" x14ac:dyDescent="0.3">
      <c r="A69" s="4" t="s">
        <v>292</v>
      </c>
      <c r="B69" s="5">
        <v>44491</v>
      </c>
      <c r="C69" s="4" t="s">
        <v>10</v>
      </c>
      <c r="D69" s="4" t="s">
        <v>77</v>
      </c>
      <c r="E69" s="4" t="s">
        <v>196</v>
      </c>
      <c r="F69" s="6" t="s">
        <v>208</v>
      </c>
      <c r="G69" s="4">
        <v>8</v>
      </c>
      <c r="H69" s="4">
        <v>35000</v>
      </c>
      <c r="I69" s="4">
        <v>52000</v>
      </c>
      <c r="J69" s="4">
        <f t="shared" si="18"/>
        <v>280000</v>
      </c>
      <c r="K69" s="4">
        <f t="shared" si="19"/>
        <v>416000</v>
      </c>
      <c r="L69" s="4">
        <f t="shared" si="20"/>
        <v>10</v>
      </c>
      <c r="M69" s="4">
        <f t="shared" si="21"/>
        <v>136000</v>
      </c>
      <c r="N69" s="6">
        <f t="shared" si="15"/>
        <v>10</v>
      </c>
      <c r="O69" s="6">
        <f t="shared" si="16"/>
        <v>2021</v>
      </c>
      <c r="P69" s="6" t="str">
        <f t="shared" si="17"/>
        <v>Q4</v>
      </c>
      <c r="Q69" s="6" t="str">
        <f t="shared" si="22"/>
        <v>Profit</v>
      </c>
      <c r="R69" s="6" t="str">
        <f t="shared" si="14"/>
        <v>Top Seller</v>
      </c>
      <c r="S69" t="str">
        <f t="shared" si="23"/>
        <v>Pending</v>
      </c>
    </row>
    <row r="70" spans="1:19" x14ac:dyDescent="0.3">
      <c r="A70" s="4" t="s">
        <v>293</v>
      </c>
      <c r="B70" s="5">
        <v>45458</v>
      </c>
      <c r="C70" s="4" t="s">
        <v>10</v>
      </c>
      <c r="D70" s="4" t="s">
        <v>78</v>
      </c>
      <c r="E70" s="4" t="s">
        <v>194</v>
      </c>
      <c r="F70" s="6" t="s">
        <v>206</v>
      </c>
      <c r="G70" s="4">
        <v>9</v>
      </c>
      <c r="H70" s="4">
        <v>35000</v>
      </c>
      <c r="I70" s="4">
        <v>52000</v>
      </c>
      <c r="J70" s="4">
        <f t="shared" si="18"/>
        <v>315000</v>
      </c>
      <c r="K70" s="4">
        <f t="shared" si="19"/>
        <v>468000</v>
      </c>
      <c r="L70" s="4">
        <f t="shared" si="20"/>
        <v>6</v>
      </c>
      <c r="M70" s="4">
        <f t="shared" si="21"/>
        <v>153000</v>
      </c>
      <c r="N70" s="6">
        <f t="shared" si="15"/>
        <v>6</v>
      </c>
      <c r="O70" s="6">
        <f t="shared" si="16"/>
        <v>2024</v>
      </c>
      <c r="P70" s="6" t="str">
        <f t="shared" si="17"/>
        <v>Q2</v>
      </c>
      <c r="Q70" s="6" t="str">
        <f t="shared" si="22"/>
        <v>Profit</v>
      </c>
      <c r="R70" s="6" t="str">
        <f t="shared" si="14"/>
        <v>Top Seller</v>
      </c>
      <c r="S70" t="str">
        <f t="shared" si="23"/>
        <v>Pending</v>
      </c>
    </row>
    <row r="71" spans="1:19" x14ac:dyDescent="0.3">
      <c r="A71" s="4" t="s">
        <v>294</v>
      </c>
      <c r="B71" s="5">
        <v>44354</v>
      </c>
      <c r="C71" s="4" t="s">
        <v>10</v>
      </c>
      <c r="D71" s="4" t="s">
        <v>79</v>
      </c>
      <c r="E71" s="4" t="s">
        <v>186</v>
      </c>
      <c r="F71" s="6" t="s">
        <v>216</v>
      </c>
      <c r="G71" s="4">
        <v>4</v>
      </c>
      <c r="H71" s="4">
        <v>35000</v>
      </c>
      <c r="I71" s="4">
        <v>52000</v>
      </c>
      <c r="J71" s="4">
        <f t="shared" si="18"/>
        <v>140000</v>
      </c>
      <c r="K71" s="4">
        <f t="shared" si="19"/>
        <v>208000</v>
      </c>
      <c r="L71" s="4">
        <f t="shared" si="20"/>
        <v>6</v>
      </c>
      <c r="M71" s="4">
        <f t="shared" si="21"/>
        <v>68000</v>
      </c>
      <c r="N71" s="6">
        <f t="shared" si="15"/>
        <v>6</v>
      </c>
      <c r="O71" s="6">
        <f t="shared" si="16"/>
        <v>2021</v>
      </c>
      <c r="P71" s="6" t="str">
        <f t="shared" si="17"/>
        <v>Q2</v>
      </c>
      <c r="Q71" s="6" t="str">
        <f t="shared" si="22"/>
        <v>Profit</v>
      </c>
      <c r="R71" s="6" t="str">
        <f t="shared" si="14"/>
        <v>Top Seller</v>
      </c>
      <c r="S71" t="str">
        <f t="shared" si="23"/>
        <v>Pending</v>
      </c>
    </row>
    <row r="72" spans="1:19" x14ac:dyDescent="0.3">
      <c r="A72" s="4" t="s">
        <v>295</v>
      </c>
      <c r="B72" s="5">
        <v>45823</v>
      </c>
      <c r="C72" s="4" t="s">
        <v>10</v>
      </c>
      <c r="D72" s="4" t="s">
        <v>80</v>
      </c>
      <c r="E72" s="4" t="s">
        <v>205</v>
      </c>
      <c r="F72" s="6" t="s">
        <v>211</v>
      </c>
      <c r="G72" s="4">
        <v>9</v>
      </c>
      <c r="H72" s="4">
        <v>35000</v>
      </c>
      <c r="I72" s="4">
        <v>52000</v>
      </c>
      <c r="J72" s="4">
        <f t="shared" si="18"/>
        <v>315000</v>
      </c>
      <c r="K72" s="4">
        <f t="shared" si="19"/>
        <v>468000</v>
      </c>
      <c r="L72" s="4">
        <f t="shared" si="20"/>
        <v>6</v>
      </c>
      <c r="M72" s="4">
        <f t="shared" si="21"/>
        <v>153000</v>
      </c>
      <c r="N72" s="6">
        <f t="shared" si="15"/>
        <v>6</v>
      </c>
      <c r="O72" s="6">
        <f t="shared" si="16"/>
        <v>2025</v>
      </c>
      <c r="P72" s="6" t="str">
        <f t="shared" si="17"/>
        <v>Q2</v>
      </c>
      <c r="Q72" s="6" t="str">
        <f t="shared" si="22"/>
        <v>Profit</v>
      </c>
      <c r="R72" s="6" t="str">
        <f t="shared" si="14"/>
        <v>Normal</v>
      </c>
      <c r="S72" t="str">
        <f t="shared" si="23"/>
        <v>Pending</v>
      </c>
    </row>
    <row r="73" spans="1:19" x14ac:dyDescent="0.3">
      <c r="A73" s="4" t="s">
        <v>296</v>
      </c>
      <c r="B73" s="5">
        <v>45334</v>
      </c>
      <c r="C73" s="4" t="s">
        <v>9</v>
      </c>
      <c r="D73" s="4" t="s">
        <v>81</v>
      </c>
      <c r="E73" s="4" t="s">
        <v>196</v>
      </c>
      <c r="F73" s="6" t="s">
        <v>207</v>
      </c>
      <c r="G73" s="4">
        <v>1</v>
      </c>
      <c r="H73" s="4">
        <v>1500</v>
      </c>
      <c r="I73" s="4">
        <v>3000</v>
      </c>
      <c r="J73" s="4">
        <f t="shared" si="18"/>
        <v>1500</v>
      </c>
      <c r="K73" s="4">
        <f t="shared" si="19"/>
        <v>3000</v>
      </c>
      <c r="L73" s="4">
        <f t="shared" si="20"/>
        <v>2</v>
      </c>
      <c r="M73" s="4">
        <f t="shared" si="21"/>
        <v>1500</v>
      </c>
      <c r="N73" s="6">
        <f t="shared" si="15"/>
        <v>2</v>
      </c>
      <c r="O73" s="6">
        <f t="shared" si="16"/>
        <v>2024</v>
      </c>
      <c r="P73" s="6" t="str">
        <f t="shared" si="17"/>
        <v>Q1</v>
      </c>
      <c r="Q73" s="6" t="str">
        <f t="shared" si="22"/>
        <v>Profit</v>
      </c>
      <c r="R73" s="6" t="str">
        <f t="shared" si="14"/>
        <v>Top Seller</v>
      </c>
      <c r="S73" t="str">
        <f t="shared" si="23"/>
        <v>Cancelled</v>
      </c>
    </row>
    <row r="74" spans="1:19" x14ac:dyDescent="0.3">
      <c r="A74" s="4" t="s">
        <v>297</v>
      </c>
      <c r="B74" s="5">
        <v>44297</v>
      </c>
      <c r="C74" s="4" t="s">
        <v>12</v>
      </c>
      <c r="D74" s="4" t="s">
        <v>82</v>
      </c>
      <c r="E74" s="4" t="s">
        <v>189</v>
      </c>
      <c r="F74" s="6" t="s">
        <v>206</v>
      </c>
      <c r="G74" s="4">
        <v>3</v>
      </c>
      <c r="H74" s="4">
        <v>20000</v>
      </c>
      <c r="I74" s="4">
        <v>30000</v>
      </c>
      <c r="J74" s="4">
        <f t="shared" si="18"/>
        <v>60000</v>
      </c>
      <c r="K74" s="4">
        <f t="shared" si="19"/>
        <v>90000</v>
      </c>
      <c r="L74" s="4">
        <f t="shared" si="20"/>
        <v>4</v>
      </c>
      <c r="M74" s="4">
        <f t="shared" si="21"/>
        <v>30000</v>
      </c>
      <c r="N74" s="6">
        <f t="shared" si="15"/>
        <v>4</v>
      </c>
      <c r="O74" s="6">
        <f t="shared" si="16"/>
        <v>2021</v>
      </c>
      <c r="P74" s="6" t="str">
        <f t="shared" si="17"/>
        <v>Q2</v>
      </c>
      <c r="Q74" s="6" t="str">
        <f t="shared" si="22"/>
        <v>Profit</v>
      </c>
      <c r="R74" s="6" t="str">
        <f t="shared" si="14"/>
        <v>Top Seller</v>
      </c>
      <c r="S74" t="str">
        <f t="shared" si="23"/>
        <v>Pending</v>
      </c>
    </row>
    <row r="75" spans="1:19" x14ac:dyDescent="0.3">
      <c r="A75" s="4" t="s">
        <v>298</v>
      </c>
      <c r="B75" s="5">
        <v>45761</v>
      </c>
      <c r="C75" s="4" t="s">
        <v>12</v>
      </c>
      <c r="D75" s="4" t="s">
        <v>83</v>
      </c>
      <c r="E75" s="4" t="s">
        <v>186</v>
      </c>
      <c r="F75" s="6" t="s">
        <v>209</v>
      </c>
      <c r="G75" s="4">
        <v>2</v>
      </c>
      <c r="H75" s="4">
        <v>35000</v>
      </c>
      <c r="I75" s="4">
        <v>52000</v>
      </c>
      <c r="J75" s="4">
        <f t="shared" si="18"/>
        <v>70000</v>
      </c>
      <c r="K75" s="4">
        <f t="shared" si="19"/>
        <v>104000</v>
      </c>
      <c r="L75" s="4">
        <f t="shared" si="20"/>
        <v>4</v>
      </c>
      <c r="M75" s="4">
        <f t="shared" si="21"/>
        <v>34000</v>
      </c>
      <c r="N75" s="6">
        <f t="shared" si="15"/>
        <v>4</v>
      </c>
      <c r="O75" s="6">
        <f t="shared" si="16"/>
        <v>2025</v>
      </c>
      <c r="P75" s="6" t="str">
        <f t="shared" si="17"/>
        <v>Q2</v>
      </c>
      <c r="Q75" s="6" t="str">
        <f t="shared" si="22"/>
        <v>Profit</v>
      </c>
      <c r="R75" s="6" t="str">
        <f t="shared" si="14"/>
        <v>Top Seller</v>
      </c>
      <c r="S75" t="str">
        <f t="shared" si="23"/>
        <v>Cancelled</v>
      </c>
    </row>
    <row r="76" spans="1:19" x14ac:dyDescent="0.3">
      <c r="A76" s="4" t="s">
        <v>299</v>
      </c>
      <c r="B76" s="5">
        <v>45007</v>
      </c>
      <c r="C76" s="4" t="s">
        <v>10</v>
      </c>
      <c r="D76" s="4" t="s">
        <v>84</v>
      </c>
      <c r="E76" s="4" t="s">
        <v>201</v>
      </c>
      <c r="F76" s="6" t="s">
        <v>214</v>
      </c>
      <c r="G76" s="4">
        <v>4</v>
      </c>
      <c r="H76" s="4">
        <v>20000</v>
      </c>
      <c r="I76" s="4">
        <v>30000</v>
      </c>
      <c r="J76" s="4">
        <f t="shared" si="18"/>
        <v>80000</v>
      </c>
      <c r="K76" s="4">
        <f t="shared" si="19"/>
        <v>120000</v>
      </c>
      <c r="L76" s="4">
        <f t="shared" si="20"/>
        <v>3</v>
      </c>
      <c r="M76" s="4">
        <f t="shared" si="21"/>
        <v>40000</v>
      </c>
      <c r="N76" s="6">
        <f t="shared" si="15"/>
        <v>3</v>
      </c>
      <c r="O76" s="6">
        <f t="shared" si="16"/>
        <v>2023</v>
      </c>
      <c r="P76" s="6" t="str">
        <f t="shared" si="17"/>
        <v>Q1</v>
      </c>
      <c r="Q76" s="6" t="str">
        <f t="shared" si="22"/>
        <v>Profit</v>
      </c>
      <c r="R76" s="6" t="str">
        <f t="shared" si="14"/>
        <v>Top Seller</v>
      </c>
      <c r="S76" t="str">
        <f t="shared" si="23"/>
        <v>Pending</v>
      </c>
    </row>
    <row r="77" spans="1:19" x14ac:dyDescent="0.3">
      <c r="A77" s="4" t="s">
        <v>300</v>
      </c>
      <c r="B77" s="5">
        <v>45251</v>
      </c>
      <c r="C77" s="4" t="s">
        <v>12</v>
      </c>
      <c r="D77" s="4" t="s">
        <v>85</v>
      </c>
      <c r="E77" s="4" t="s">
        <v>198</v>
      </c>
      <c r="F77" s="6" t="s">
        <v>209</v>
      </c>
      <c r="G77" s="4">
        <v>1</v>
      </c>
      <c r="H77" s="4">
        <v>35000</v>
      </c>
      <c r="I77" s="4">
        <v>52000</v>
      </c>
      <c r="J77" s="4">
        <f t="shared" si="18"/>
        <v>35000</v>
      </c>
      <c r="K77" s="4">
        <f t="shared" si="19"/>
        <v>52000</v>
      </c>
      <c r="L77" s="4">
        <f t="shared" si="20"/>
        <v>11</v>
      </c>
      <c r="M77" s="4">
        <f t="shared" si="21"/>
        <v>17000</v>
      </c>
      <c r="N77" s="6">
        <f t="shared" si="15"/>
        <v>11</v>
      </c>
      <c r="O77" s="6">
        <f t="shared" si="16"/>
        <v>2023</v>
      </c>
      <c r="P77" s="6" t="str">
        <f t="shared" si="17"/>
        <v>Q4</v>
      </c>
      <c r="Q77" s="6" t="str">
        <f t="shared" si="22"/>
        <v>Profit</v>
      </c>
      <c r="R77" s="6" t="str">
        <f t="shared" si="14"/>
        <v>Top Seller</v>
      </c>
      <c r="S77" t="str">
        <f t="shared" si="23"/>
        <v>Cancelled</v>
      </c>
    </row>
    <row r="78" spans="1:19" x14ac:dyDescent="0.3">
      <c r="A78" s="4" t="s">
        <v>301</v>
      </c>
      <c r="B78" s="5">
        <v>45596</v>
      </c>
      <c r="C78" s="4" t="s">
        <v>10</v>
      </c>
      <c r="D78" s="4" t="s">
        <v>86</v>
      </c>
      <c r="E78" s="4" t="s">
        <v>201</v>
      </c>
      <c r="F78" s="6" t="s">
        <v>207</v>
      </c>
      <c r="G78" s="4">
        <v>5</v>
      </c>
      <c r="H78" s="4">
        <v>12000</v>
      </c>
      <c r="I78" s="4">
        <v>18000</v>
      </c>
      <c r="J78" s="4">
        <f t="shared" si="18"/>
        <v>60000</v>
      </c>
      <c r="K78" s="4">
        <f t="shared" si="19"/>
        <v>90000</v>
      </c>
      <c r="L78" s="4">
        <f t="shared" si="20"/>
        <v>10</v>
      </c>
      <c r="M78" s="4">
        <f t="shared" si="21"/>
        <v>30000</v>
      </c>
      <c r="N78" s="6">
        <f t="shared" si="15"/>
        <v>10</v>
      </c>
      <c r="O78" s="6">
        <f t="shared" si="16"/>
        <v>2024</v>
      </c>
      <c r="P78" s="6" t="str">
        <f t="shared" si="17"/>
        <v>Q4</v>
      </c>
      <c r="Q78" s="6" t="str">
        <f t="shared" si="22"/>
        <v>Profit</v>
      </c>
      <c r="R78" s="6" t="str">
        <f t="shared" si="14"/>
        <v>Top Seller</v>
      </c>
      <c r="S78" t="str">
        <f t="shared" si="23"/>
        <v>Pending</v>
      </c>
    </row>
    <row r="79" spans="1:19" x14ac:dyDescent="0.3">
      <c r="A79" s="4" t="s">
        <v>302</v>
      </c>
      <c r="B79" s="5">
        <v>45626</v>
      </c>
      <c r="C79" s="4" t="s">
        <v>10</v>
      </c>
      <c r="D79" s="4" t="s">
        <v>87</v>
      </c>
      <c r="E79" s="4" t="s">
        <v>189</v>
      </c>
      <c r="F79" s="6" t="s">
        <v>208</v>
      </c>
      <c r="G79" s="4">
        <v>9</v>
      </c>
      <c r="H79" s="4">
        <v>20000</v>
      </c>
      <c r="I79" s="4">
        <v>30000</v>
      </c>
      <c r="J79" s="4">
        <f t="shared" si="18"/>
        <v>180000</v>
      </c>
      <c r="K79" s="4">
        <f t="shared" si="19"/>
        <v>270000</v>
      </c>
      <c r="L79" s="4">
        <f t="shared" si="20"/>
        <v>11</v>
      </c>
      <c r="M79" s="4">
        <f t="shared" si="21"/>
        <v>90000</v>
      </c>
      <c r="N79" s="6">
        <f t="shared" si="15"/>
        <v>11</v>
      </c>
      <c r="O79" s="6">
        <f t="shared" si="16"/>
        <v>2024</v>
      </c>
      <c r="P79" s="6" t="str">
        <f t="shared" si="17"/>
        <v>Q4</v>
      </c>
      <c r="Q79" s="6" t="str">
        <f t="shared" si="22"/>
        <v>Profit</v>
      </c>
      <c r="R79" s="6" t="str">
        <f t="shared" si="14"/>
        <v>Normal</v>
      </c>
      <c r="S79" t="str">
        <f t="shared" si="23"/>
        <v>Pending</v>
      </c>
    </row>
    <row r="80" spans="1:19" x14ac:dyDescent="0.3">
      <c r="A80" s="4" t="s">
        <v>303</v>
      </c>
      <c r="B80" s="5">
        <v>44955</v>
      </c>
      <c r="C80" s="4" t="s">
        <v>10</v>
      </c>
      <c r="D80" s="4" t="s">
        <v>88</v>
      </c>
      <c r="E80" s="4" t="s">
        <v>194</v>
      </c>
      <c r="F80" s="6" t="s">
        <v>210</v>
      </c>
      <c r="G80" s="4">
        <v>7</v>
      </c>
      <c r="H80" s="4">
        <v>1500</v>
      </c>
      <c r="I80" s="4">
        <v>3000</v>
      </c>
      <c r="J80" s="4">
        <f t="shared" si="18"/>
        <v>10500</v>
      </c>
      <c r="K80" s="4">
        <f t="shared" si="19"/>
        <v>21000</v>
      </c>
      <c r="L80" s="4">
        <f t="shared" si="20"/>
        <v>1</v>
      </c>
      <c r="M80" s="4">
        <f t="shared" si="21"/>
        <v>10500</v>
      </c>
      <c r="N80" s="6">
        <f t="shared" si="15"/>
        <v>1</v>
      </c>
      <c r="O80" s="6">
        <f t="shared" si="16"/>
        <v>2023</v>
      </c>
      <c r="P80" s="6" t="str">
        <f t="shared" si="17"/>
        <v>Q1</v>
      </c>
      <c r="Q80" s="6" t="str">
        <f t="shared" si="22"/>
        <v>Profit</v>
      </c>
      <c r="R80" s="6" t="str">
        <f t="shared" si="14"/>
        <v>Top Seller</v>
      </c>
      <c r="S80" t="str">
        <f t="shared" si="23"/>
        <v>Pending</v>
      </c>
    </row>
    <row r="81" spans="1:19" x14ac:dyDescent="0.3">
      <c r="A81" s="4" t="s">
        <v>304</v>
      </c>
      <c r="B81" s="5">
        <v>45047</v>
      </c>
      <c r="C81" s="4" t="s">
        <v>11</v>
      </c>
      <c r="D81" s="4" t="s">
        <v>89</v>
      </c>
      <c r="E81" s="4" t="s">
        <v>203</v>
      </c>
      <c r="F81" s="6" t="s">
        <v>215</v>
      </c>
      <c r="G81" s="4">
        <v>8</v>
      </c>
      <c r="H81" s="4">
        <v>6000</v>
      </c>
      <c r="I81" s="4">
        <v>10000</v>
      </c>
      <c r="J81" s="4">
        <f t="shared" si="18"/>
        <v>48000</v>
      </c>
      <c r="K81" s="4">
        <f t="shared" si="19"/>
        <v>80000</v>
      </c>
      <c r="L81" s="4">
        <f t="shared" si="20"/>
        <v>5</v>
      </c>
      <c r="M81" s="4">
        <f t="shared" si="21"/>
        <v>32000</v>
      </c>
      <c r="N81" s="6">
        <f t="shared" si="15"/>
        <v>5</v>
      </c>
      <c r="O81" s="6">
        <f t="shared" si="16"/>
        <v>2023</v>
      </c>
      <c r="P81" s="6" t="str">
        <f t="shared" si="17"/>
        <v>Q2</v>
      </c>
      <c r="Q81" s="6" t="str">
        <f t="shared" si="22"/>
        <v>Profit</v>
      </c>
      <c r="R81" s="6" t="str">
        <f t="shared" si="14"/>
        <v>Normal</v>
      </c>
      <c r="S81" t="str">
        <f t="shared" si="23"/>
        <v>Pending</v>
      </c>
    </row>
    <row r="82" spans="1:19" x14ac:dyDescent="0.3">
      <c r="A82" s="4" t="s">
        <v>305</v>
      </c>
      <c r="B82" s="5">
        <v>45686</v>
      </c>
      <c r="C82" s="4" t="s">
        <v>9</v>
      </c>
      <c r="D82" s="4" t="s">
        <v>90</v>
      </c>
      <c r="E82" s="4" t="s">
        <v>204</v>
      </c>
      <c r="F82" s="6" t="s">
        <v>209</v>
      </c>
      <c r="G82" s="4">
        <v>5</v>
      </c>
      <c r="H82" s="4">
        <v>1500</v>
      </c>
      <c r="I82" s="4">
        <v>3000</v>
      </c>
      <c r="J82" s="4">
        <f t="shared" si="18"/>
        <v>7500</v>
      </c>
      <c r="K82" s="4">
        <f t="shared" si="19"/>
        <v>15000</v>
      </c>
      <c r="L82" s="4">
        <f t="shared" si="20"/>
        <v>1</v>
      </c>
      <c r="M82" s="4">
        <f t="shared" si="21"/>
        <v>7500</v>
      </c>
      <c r="N82" s="6">
        <f t="shared" si="15"/>
        <v>1</v>
      </c>
      <c r="O82" s="6">
        <f t="shared" si="16"/>
        <v>2025</v>
      </c>
      <c r="P82" s="6" t="str">
        <f t="shared" si="17"/>
        <v>Q1</v>
      </c>
      <c r="Q82" s="6" t="str">
        <f t="shared" si="22"/>
        <v>Profit</v>
      </c>
      <c r="R82" s="6" t="str">
        <f t="shared" si="14"/>
        <v>Top Seller</v>
      </c>
      <c r="S82" t="str">
        <f t="shared" si="23"/>
        <v>Pending</v>
      </c>
    </row>
    <row r="83" spans="1:19" x14ac:dyDescent="0.3">
      <c r="A83" s="4" t="s">
        <v>306</v>
      </c>
      <c r="B83" s="5">
        <v>45308</v>
      </c>
      <c r="C83" s="4" t="s">
        <v>12</v>
      </c>
      <c r="D83" s="4" t="s">
        <v>91</v>
      </c>
      <c r="E83" s="4" t="s">
        <v>191</v>
      </c>
      <c r="F83" s="6" t="s">
        <v>211</v>
      </c>
      <c r="G83" s="4">
        <v>7</v>
      </c>
      <c r="H83" s="4">
        <v>35000</v>
      </c>
      <c r="I83" s="4">
        <v>52000</v>
      </c>
      <c r="J83" s="4">
        <f t="shared" si="18"/>
        <v>245000</v>
      </c>
      <c r="K83" s="4">
        <f t="shared" si="19"/>
        <v>364000</v>
      </c>
      <c r="L83" s="4">
        <f t="shared" si="20"/>
        <v>1</v>
      </c>
      <c r="M83" s="4">
        <f t="shared" si="21"/>
        <v>119000</v>
      </c>
      <c r="N83" s="6">
        <f t="shared" si="15"/>
        <v>1</v>
      </c>
      <c r="O83" s="6">
        <f t="shared" si="16"/>
        <v>2024</v>
      </c>
      <c r="P83" s="6" t="str">
        <f t="shared" si="17"/>
        <v>Q1</v>
      </c>
      <c r="Q83" s="6" t="str">
        <f t="shared" si="22"/>
        <v>Profit</v>
      </c>
      <c r="R83" s="6" t="str">
        <f t="shared" si="14"/>
        <v>Top Seller</v>
      </c>
      <c r="S83" t="str">
        <f t="shared" si="23"/>
        <v>Pending</v>
      </c>
    </row>
    <row r="84" spans="1:19" x14ac:dyDescent="0.3">
      <c r="A84" s="4" t="s">
        <v>307</v>
      </c>
      <c r="B84" s="5">
        <v>44863</v>
      </c>
      <c r="C84" s="4" t="s">
        <v>12</v>
      </c>
      <c r="D84" s="4" t="s">
        <v>92</v>
      </c>
      <c r="E84" s="4" t="s">
        <v>196</v>
      </c>
      <c r="F84" s="6" t="s">
        <v>210</v>
      </c>
      <c r="G84" s="4">
        <v>6</v>
      </c>
      <c r="H84" s="4">
        <v>12000</v>
      </c>
      <c r="I84" s="4">
        <v>18000</v>
      </c>
      <c r="J84" s="4">
        <f t="shared" si="18"/>
        <v>72000</v>
      </c>
      <c r="K84" s="4">
        <f t="shared" si="19"/>
        <v>108000</v>
      </c>
      <c r="L84" s="4">
        <f t="shared" si="20"/>
        <v>10</v>
      </c>
      <c r="M84" s="4">
        <f t="shared" si="21"/>
        <v>36000</v>
      </c>
      <c r="N84" s="6">
        <f t="shared" si="15"/>
        <v>10</v>
      </c>
      <c r="O84" s="6">
        <f t="shared" si="16"/>
        <v>2022</v>
      </c>
      <c r="P84" s="6" t="str">
        <f t="shared" si="17"/>
        <v>Q4</v>
      </c>
      <c r="Q84" s="6" t="str">
        <f t="shared" si="22"/>
        <v>Profit</v>
      </c>
      <c r="R84" s="6" t="str">
        <f t="shared" si="14"/>
        <v>Top Seller</v>
      </c>
      <c r="S84" t="str">
        <f t="shared" si="23"/>
        <v>Pending</v>
      </c>
    </row>
    <row r="85" spans="1:19" x14ac:dyDescent="0.3">
      <c r="A85" s="4" t="s">
        <v>308</v>
      </c>
      <c r="B85" s="5">
        <v>45137</v>
      </c>
      <c r="C85" s="4" t="s">
        <v>10</v>
      </c>
      <c r="D85" s="4" t="s">
        <v>93</v>
      </c>
      <c r="E85" s="4" t="s">
        <v>203</v>
      </c>
      <c r="F85" s="6" t="s">
        <v>212</v>
      </c>
      <c r="G85" s="4">
        <v>6</v>
      </c>
      <c r="H85" s="4">
        <v>6000</v>
      </c>
      <c r="I85" s="4">
        <v>10000</v>
      </c>
      <c r="J85" s="4">
        <f t="shared" si="18"/>
        <v>36000</v>
      </c>
      <c r="K85" s="4">
        <f t="shared" si="19"/>
        <v>60000</v>
      </c>
      <c r="L85" s="4">
        <f t="shared" si="20"/>
        <v>7</v>
      </c>
      <c r="M85" s="4">
        <f t="shared" si="21"/>
        <v>24000</v>
      </c>
      <c r="N85" s="6">
        <f t="shared" si="15"/>
        <v>7</v>
      </c>
      <c r="O85" s="6">
        <f t="shared" si="16"/>
        <v>2023</v>
      </c>
      <c r="P85" s="6" t="str">
        <f t="shared" si="17"/>
        <v>Q3</v>
      </c>
      <c r="Q85" s="6" t="str">
        <f t="shared" si="22"/>
        <v>Profit</v>
      </c>
      <c r="R85" s="6" t="str">
        <f t="shared" si="14"/>
        <v>Normal</v>
      </c>
      <c r="S85" t="str">
        <f t="shared" si="23"/>
        <v>Pending</v>
      </c>
    </row>
    <row r="86" spans="1:19" x14ac:dyDescent="0.3">
      <c r="A86" s="4" t="s">
        <v>309</v>
      </c>
      <c r="B86" s="5">
        <v>45259</v>
      </c>
      <c r="C86" s="4" t="s">
        <v>11</v>
      </c>
      <c r="D86" s="4" t="s">
        <v>94</v>
      </c>
      <c r="E86" s="4" t="s">
        <v>187</v>
      </c>
      <c r="F86" s="6" t="s">
        <v>217</v>
      </c>
      <c r="G86" s="4">
        <v>1</v>
      </c>
      <c r="H86" s="4">
        <v>1500</v>
      </c>
      <c r="I86" s="4">
        <v>3000</v>
      </c>
      <c r="J86" s="4">
        <f t="shared" si="18"/>
        <v>1500</v>
      </c>
      <c r="K86" s="4">
        <f t="shared" si="19"/>
        <v>3000</v>
      </c>
      <c r="L86" s="4">
        <f t="shared" si="20"/>
        <v>11</v>
      </c>
      <c r="M86" s="4">
        <f t="shared" si="21"/>
        <v>1500</v>
      </c>
      <c r="N86" s="6">
        <f t="shared" si="15"/>
        <v>11</v>
      </c>
      <c r="O86" s="6">
        <f t="shared" si="16"/>
        <v>2023</v>
      </c>
      <c r="P86" s="6" t="str">
        <f t="shared" si="17"/>
        <v>Q4</v>
      </c>
      <c r="Q86" s="6" t="str">
        <f t="shared" si="22"/>
        <v>Profit</v>
      </c>
      <c r="R86" s="6" t="str">
        <f t="shared" si="14"/>
        <v>Top Seller</v>
      </c>
      <c r="S86" t="str">
        <f t="shared" si="23"/>
        <v>Cancelled</v>
      </c>
    </row>
    <row r="87" spans="1:19" x14ac:dyDescent="0.3">
      <c r="A87" s="4" t="s">
        <v>310</v>
      </c>
      <c r="B87" s="5">
        <v>44350</v>
      </c>
      <c r="C87" s="4" t="s">
        <v>11</v>
      </c>
      <c r="D87" s="4" t="s">
        <v>51</v>
      </c>
      <c r="E87" s="4" t="s">
        <v>190</v>
      </c>
      <c r="F87" s="6" t="s">
        <v>214</v>
      </c>
      <c r="G87" s="4">
        <v>3</v>
      </c>
      <c r="H87" s="4">
        <v>35000</v>
      </c>
      <c r="I87" s="4">
        <v>52000</v>
      </c>
      <c r="J87" s="4">
        <f t="shared" si="18"/>
        <v>105000</v>
      </c>
      <c r="K87" s="4">
        <f t="shared" si="19"/>
        <v>156000</v>
      </c>
      <c r="L87" s="4">
        <f t="shared" si="20"/>
        <v>6</v>
      </c>
      <c r="M87" s="4">
        <f t="shared" si="21"/>
        <v>51000</v>
      </c>
      <c r="N87" s="6">
        <f t="shared" si="15"/>
        <v>6</v>
      </c>
      <c r="O87" s="6">
        <f t="shared" si="16"/>
        <v>2021</v>
      </c>
      <c r="P87" s="6" t="str">
        <f t="shared" si="17"/>
        <v>Q2</v>
      </c>
      <c r="Q87" s="6" t="str">
        <f t="shared" si="22"/>
        <v>Profit</v>
      </c>
      <c r="R87" s="6" t="str">
        <f t="shared" si="14"/>
        <v>Top Seller</v>
      </c>
      <c r="S87" t="str">
        <f t="shared" si="23"/>
        <v>Pending</v>
      </c>
    </row>
    <row r="88" spans="1:19" x14ac:dyDescent="0.3">
      <c r="A88" s="4" t="s">
        <v>311</v>
      </c>
      <c r="B88" s="5">
        <v>46006</v>
      </c>
      <c r="C88" s="4" t="s">
        <v>11</v>
      </c>
      <c r="D88" s="4" t="s">
        <v>95</v>
      </c>
      <c r="E88" s="4" t="s">
        <v>197</v>
      </c>
      <c r="F88" s="6" t="s">
        <v>210</v>
      </c>
      <c r="G88" s="4">
        <v>7</v>
      </c>
      <c r="H88" s="4">
        <v>20000</v>
      </c>
      <c r="I88" s="4">
        <v>30000</v>
      </c>
      <c r="J88" s="4">
        <f t="shared" si="18"/>
        <v>140000</v>
      </c>
      <c r="K88" s="4">
        <f t="shared" si="19"/>
        <v>210000</v>
      </c>
      <c r="L88" s="4">
        <f t="shared" si="20"/>
        <v>12</v>
      </c>
      <c r="M88" s="4">
        <f t="shared" si="21"/>
        <v>70000</v>
      </c>
      <c r="N88" s="6">
        <f t="shared" si="15"/>
        <v>12</v>
      </c>
      <c r="O88" s="6">
        <f t="shared" si="16"/>
        <v>2025</v>
      </c>
      <c r="P88" s="6" t="str">
        <f t="shared" si="17"/>
        <v>Q4</v>
      </c>
      <c r="Q88" s="6" t="str">
        <f t="shared" si="22"/>
        <v>Profit</v>
      </c>
      <c r="R88" s="6" t="str">
        <f t="shared" si="14"/>
        <v>Normal</v>
      </c>
      <c r="S88" t="str">
        <f t="shared" si="23"/>
        <v>Pending</v>
      </c>
    </row>
    <row r="89" spans="1:19" x14ac:dyDescent="0.3">
      <c r="A89" s="4" t="s">
        <v>312</v>
      </c>
      <c r="B89" s="5">
        <v>44193</v>
      </c>
      <c r="C89" s="4" t="s">
        <v>12</v>
      </c>
      <c r="D89" s="4" t="s">
        <v>66</v>
      </c>
      <c r="E89" s="4" t="s">
        <v>203</v>
      </c>
      <c r="F89" s="6" t="s">
        <v>207</v>
      </c>
      <c r="G89" s="4">
        <v>5</v>
      </c>
      <c r="H89" s="4">
        <v>1500</v>
      </c>
      <c r="I89" s="4">
        <v>3000</v>
      </c>
      <c r="J89" s="4">
        <f t="shared" si="18"/>
        <v>7500</v>
      </c>
      <c r="K89" s="4">
        <f t="shared" si="19"/>
        <v>15000</v>
      </c>
      <c r="L89" s="4">
        <f t="shared" si="20"/>
        <v>12</v>
      </c>
      <c r="M89" s="4">
        <f t="shared" si="21"/>
        <v>7500</v>
      </c>
      <c r="N89" s="6">
        <f t="shared" si="15"/>
        <v>12</v>
      </c>
      <c r="O89" s="6">
        <f t="shared" si="16"/>
        <v>2020</v>
      </c>
      <c r="P89" s="6" t="str">
        <f t="shared" si="17"/>
        <v>Q4</v>
      </c>
      <c r="Q89" s="6" t="str">
        <f t="shared" si="22"/>
        <v>Profit</v>
      </c>
      <c r="R89" s="6" t="str">
        <f t="shared" si="14"/>
        <v>Top Seller</v>
      </c>
      <c r="S89" t="str">
        <f t="shared" si="23"/>
        <v>Pending</v>
      </c>
    </row>
    <row r="90" spans="1:19" x14ac:dyDescent="0.3">
      <c r="A90" s="4" t="s">
        <v>313</v>
      </c>
      <c r="B90" s="5">
        <v>44714</v>
      </c>
      <c r="C90" s="4" t="s">
        <v>12</v>
      </c>
      <c r="D90" s="4" t="s">
        <v>41</v>
      </c>
      <c r="E90" s="4" t="s">
        <v>192</v>
      </c>
      <c r="F90" s="6" t="s">
        <v>210</v>
      </c>
      <c r="G90" s="4">
        <v>8</v>
      </c>
      <c r="H90" s="4">
        <v>6000</v>
      </c>
      <c r="I90" s="4">
        <v>10000</v>
      </c>
      <c r="J90" s="4">
        <f t="shared" si="18"/>
        <v>48000</v>
      </c>
      <c r="K90" s="4">
        <f t="shared" si="19"/>
        <v>80000</v>
      </c>
      <c r="L90" s="4">
        <f t="shared" si="20"/>
        <v>6</v>
      </c>
      <c r="M90" s="4">
        <f t="shared" si="21"/>
        <v>32000</v>
      </c>
      <c r="N90" s="6">
        <f t="shared" si="15"/>
        <v>6</v>
      </c>
      <c r="O90" s="6">
        <f t="shared" si="16"/>
        <v>2022</v>
      </c>
      <c r="P90" s="6" t="str">
        <f t="shared" si="17"/>
        <v>Q2</v>
      </c>
      <c r="Q90" s="6" t="str">
        <f t="shared" si="22"/>
        <v>Profit</v>
      </c>
      <c r="R90" s="6" t="str">
        <f t="shared" si="14"/>
        <v>Normal</v>
      </c>
      <c r="S90" t="str">
        <f t="shared" si="23"/>
        <v>Pending</v>
      </c>
    </row>
    <row r="91" spans="1:19" x14ac:dyDescent="0.3">
      <c r="A91" s="4" t="s">
        <v>314</v>
      </c>
      <c r="B91" s="5">
        <v>44265</v>
      </c>
      <c r="C91" s="4" t="s">
        <v>11</v>
      </c>
      <c r="D91" s="4" t="s">
        <v>96</v>
      </c>
      <c r="E91" s="4" t="s">
        <v>203</v>
      </c>
      <c r="F91" s="6" t="s">
        <v>207</v>
      </c>
      <c r="G91" s="4">
        <v>4</v>
      </c>
      <c r="H91" s="4">
        <v>6000</v>
      </c>
      <c r="I91" s="4">
        <v>10000</v>
      </c>
      <c r="J91" s="4">
        <f t="shared" si="18"/>
        <v>24000</v>
      </c>
      <c r="K91" s="4">
        <f t="shared" si="19"/>
        <v>40000</v>
      </c>
      <c r="L91" s="4">
        <f t="shared" si="20"/>
        <v>3</v>
      </c>
      <c r="M91" s="4">
        <f t="shared" si="21"/>
        <v>16000</v>
      </c>
      <c r="N91" s="6">
        <f t="shared" si="15"/>
        <v>3</v>
      </c>
      <c r="O91" s="6">
        <f t="shared" si="16"/>
        <v>2021</v>
      </c>
      <c r="P91" s="6" t="str">
        <f t="shared" si="17"/>
        <v>Q1</v>
      </c>
      <c r="Q91" s="6" t="str">
        <f t="shared" si="22"/>
        <v>Profit</v>
      </c>
      <c r="R91" s="6" t="str">
        <f t="shared" si="14"/>
        <v>Normal</v>
      </c>
      <c r="S91" t="str">
        <f t="shared" si="23"/>
        <v>Pending</v>
      </c>
    </row>
    <row r="92" spans="1:19" x14ac:dyDescent="0.3">
      <c r="A92" s="4" t="s">
        <v>315</v>
      </c>
      <c r="B92" s="5">
        <v>44672</v>
      </c>
      <c r="C92" s="4" t="s">
        <v>12</v>
      </c>
      <c r="D92" s="4" t="s">
        <v>97</v>
      </c>
      <c r="E92" s="4" t="s">
        <v>189</v>
      </c>
      <c r="F92" s="6" t="s">
        <v>217</v>
      </c>
      <c r="G92" s="4">
        <v>8</v>
      </c>
      <c r="H92" s="4">
        <v>1500</v>
      </c>
      <c r="I92" s="4">
        <v>3000</v>
      </c>
      <c r="J92" s="4">
        <f t="shared" si="18"/>
        <v>12000</v>
      </c>
      <c r="K92" s="4">
        <f t="shared" si="19"/>
        <v>24000</v>
      </c>
      <c r="L92" s="4">
        <f t="shared" si="20"/>
        <v>4</v>
      </c>
      <c r="M92" s="4">
        <f t="shared" si="21"/>
        <v>12000</v>
      </c>
      <c r="N92" s="6">
        <f t="shared" si="15"/>
        <v>4</v>
      </c>
      <c r="O92" s="6">
        <f t="shared" si="16"/>
        <v>2022</v>
      </c>
      <c r="P92" s="6" t="str">
        <f t="shared" si="17"/>
        <v>Q2</v>
      </c>
      <c r="Q92" s="6" t="str">
        <f t="shared" si="22"/>
        <v>Profit</v>
      </c>
      <c r="R92" s="6" t="str">
        <f t="shared" si="14"/>
        <v>Top Seller</v>
      </c>
      <c r="S92" t="str">
        <f t="shared" si="23"/>
        <v>Pending</v>
      </c>
    </row>
    <row r="93" spans="1:19" x14ac:dyDescent="0.3">
      <c r="A93" s="4" t="s">
        <v>316</v>
      </c>
      <c r="B93" s="5">
        <v>44809</v>
      </c>
      <c r="C93" s="4" t="s">
        <v>12</v>
      </c>
      <c r="D93" s="4" t="s">
        <v>98</v>
      </c>
      <c r="E93" s="4" t="s">
        <v>190</v>
      </c>
      <c r="F93" s="6" t="s">
        <v>206</v>
      </c>
      <c r="G93" s="4">
        <v>8</v>
      </c>
      <c r="H93" s="4">
        <v>20000</v>
      </c>
      <c r="I93" s="4">
        <v>30000</v>
      </c>
      <c r="J93" s="4">
        <f t="shared" si="18"/>
        <v>160000</v>
      </c>
      <c r="K93" s="4">
        <f t="shared" si="19"/>
        <v>240000</v>
      </c>
      <c r="L93" s="4">
        <f t="shared" si="20"/>
        <v>9</v>
      </c>
      <c r="M93" s="4">
        <f t="shared" si="21"/>
        <v>80000</v>
      </c>
      <c r="N93" s="6">
        <f t="shared" si="15"/>
        <v>9</v>
      </c>
      <c r="O93" s="6">
        <f t="shared" si="16"/>
        <v>2022</v>
      </c>
      <c r="P93" s="6" t="str">
        <f t="shared" si="17"/>
        <v>Q3</v>
      </c>
      <c r="Q93" s="6" t="str">
        <f t="shared" si="22"/>
        <v>Profit</v>
      </c>
      <c r="R93" s="6" t="str">
        <f t="shared" si="14"/>
        <v>Top Seller</v>
      </c>
      <c r="S93" t="str">
        <f t="shared" si="23"/>
        <v>Pending</v>
      </c>
    </row>
    <row r="94" spans="1:19" x14ac:dyDescent="0.3">
      <c r="A94" s="4" t="s">
        <v>317</v>
      </c>
      <c r="B94" s="5">
        <v>44407</v>
      </c>
      <c r="C94" s="4" t="s">
        <v>12</v>
      </c>
      <c r="D94" s="4" t="s">
        <v>99</v>
      </c>
      <c r="E94" s="4" t="s">
        <v>186</v>
      </c>
      <c r="F94" s="6" t="s">
        <v>212</v>
      </c>
      <c r="G94" s="4">
        <v>4</v>
      </c>
      <c r="H94" s="4">
        <v>35000</v>
      </c>
      <c r="I94" s="4">
        <v>52000</v>
      </c>
      <c r="J94" s="4">
        <f t="shared" si="18"/>
        <v>140000</v>
      </c>
      <c r="K94" s="4">
        <f t="shared" si="19"/>
        <v>208000</v>
      </c>
      <c r="L94" s="4">
        <f t="shared" si="20"/>
        <v>7</v>
      </c>
      <c r="M94" s="4">
        <f t="shared" si="21"/>
        <v>68000</v>
      </c>
      <c r="N94" s="6">
        <f t="shared" si="15"/>
        <v>7</v>
      </c>
      <c r="O94" s="6">
        <f t="shared" si="16"/>
        <v>2021</v>
      </c>
      <c r="P94" s="6" t="str">
        <f t="shared" si="17"/>
        <v>Q3</v>
      </c>
      <c r="Q94" s="6" t="str">
        <f t="shared" si="22"/>
        <v>Profit</v>
      </c>
      <c r="R94" s="6" t="str">
        <f t="shared" si="14"/>
        <v>Top Seller</v>
      </c>
      <c r="S94" t="str">
        <f t="shared" si="23"/>
        <v>Pending</v>
      </c>
    </row>
    <row r="95" spans="1:19" x14ac:dyDescent="0.3">
      <c r="A95" s="4" t="s">
        <v>318</v>
      </c>
      <c r="B95" s="5">
        <v>45098</v>
      </c>
      <c r="C95" s="4" t="s">
        <v>10</v>
      </c>
      <c r="D95" s="4" t="s">
        <v>100</v>
      </c>
      <c r="E95" s="4" t="s">
        <v>188</v>
      </c>
      <c r="F95" s="6" t="s">
        <v>214</v>
      </c>
      <c r="G95" s="4">
        <v>4</v>
      </c>
      <c r="H95" s="4">
        <v>20000</v>
      </c>
      <c r="I95" s="4">
        <v>30000</v>
      </c>
      <c r="J95" s="4">
        <f t="shared" si="18"/>
        <v>80000</v>
      </c>
      <c r="K95" s="4">
        <f t="shared" si="19"/>
        <v>120000</v>
      </c>
      <c r="L95" s="4">
        <f t="shared" si="20"/>
        <v>6</v>
      </c>
      <c r="M95" s="4">
        <f t="shared" si="21"/>
        <v>40000</v>
      </c>
      <c r="N95" s="6">
        <f t="shared" si="15"/>
        <v>6</v>
      </c>
      <c r="O95" s="6">
        <f t="shared" si="16"/>
        <v>2023</v>
      </c>
      <c r="P95" s="6" t="str">
        <f t="shared" si="17"/>
        <v>Q2</v>
      </c>
      <c r="Q95" s="6" t="str">
        <f t="shared" si="22"/>
        <v>Profit</v>
      </c>
      <c r="R95" s="6" t="str">
        <f t="shared" si="14"/>
        <v>Top Seller</v>
      </c>
      <c r="S95" t="str">
        <f t="shared" si="23"/>
        <v>Pending</v>
      </c>
    </row>
    <row r="96" spans="1:19" x14ac:dyDescent="0.3">
      <c r="A96" s="4" t="s">
        <v>319</v>
      </c>
      <c r="B96" s="5">
        <v>44992</v>
      </c>
      <c r="C96" s="4" t="s">
        <v>12</v>
      </c>
      <c r="D96" s="4" t="s">
        <v>101</v>
      </c>
      <c r="E96" s="4" t="s">
        <v>197</v>
      </c>
      <c r="F96" s="6" t="s">
        <v>211</v>
      </c>
      <c r="G96" s="4">
        <v>5</v>
      </c>
      <c r="H96" s="4">
        <v>12000</v>
      </c>
      <c r="I96" s="4">
        <v>18000</v>
      </c>
      <c r="J96" s="4">
        <f t="shared" si="18"/>
        <v>60000</v>
      </c>
      <c r="K96" s="4">
        <f t="shared" si="19"/>
        <v>90000</v>
      </c>
      <c r="L96" s="4">
        <f t="shared" si="20"/>
        <v>3</v>
      </c>
      <c r="M96" s="4">
        <f t="shared" si="21"/>
        <v>30000</v>
      </c>
      <c r="N96" s="6">
        <f t="shared" si="15"/>
        <v>3</v>
      </c>
      <c r="O96" s="6">
        <f t="shared" si="16"/>
        <v>2023</v>
      </c>
      <c r="P96" s="6" t="str">
        <f t="shared" si="17"/>
        <v>Q1</v>
      </c>
      <c r="Q96" s="6" t="str">
        <f t="shared" si="22"/>
        <v>Profit</v>
      </c>
      <c r="R96" s="6" t="str">
        <f t="shared" si="14"/>
        <v>Top Seller</v>
      </c>
      <c r="S96" t="str">
        <f t="shared" si="23"/>
        <v>Pending</v>
      </c>
    </row>
    <row r="97" spans="1:19" x14ac:dyDescent="0.3">
      <c r="A97" s="4" t="s">
        <v>320</v>
      </c>
      <c r="B97" s="5">
        <v>43844</v>
      </c>
      <c r="C97" s="4" t="s">
        <v>10</v>
      </c>
      <c r="D97" s="4" t="s">
        <v>52</v>
      </c>
      <c r="E97" s="4" t="s">
        <v>196</v>
      </c>
      <c r="F97" s="6" t="s">
        <v>207</v>
      </c>
      <c r="G97" s="4">
        <v>9</v>
      </c>
      <c r="H97" s="4">
        <v>20000</v>
      </c>
      <c r="I97" s="4">
        <v>30000</v>
      </c>
      <c r="J97" s="4">
        <f t="shared" si="18"/>
        <v>180000</v>
      </c>
      <c r="K97" s="4">
        <f t="shared" si="19"/>
        <v>270000</v>
      </c>
      <c r="L97" s="4">
        <f t="shared" si="20"/>
        <v>1</v>
      </c>
      <c r="M97" s="4">
        <f t="shared" si="21"/>
        <v>90000</v>
      </c>
      <c r="N97" s="6">
        <f t="shared" si="15"/>
        <v>1</v>
      </c>
      <c r="O97" s="6">
        <f t="shared" si="16"/>
        <v>2020</v>
      </c>
      <c r="P97" s="6" t="str">
        <f t="shared" si="17"/>
        <v>Q1</v>
      </c>
      <c r="Q97" s="6" t="str">
        <f t="shared" si="22"/>
        <v>Profit</v>
      </c>
      <c r="R97" s="6" t="str">
        <f t="shared" si="14"/>
        <v>Top Seller</v>
      </c>
      <c r="S97" t="str">
        <f t="shared" si="23"/>
        <v>Pending</v>
      </c>
    </row>
    <row r="98" spans="1:19" x14ac:dyDescent="0.3">
      <c r="A98" s="4" t="s">
        <v>321</v>
      </c>
      <c r="B98" s="5">
        <v>45895</v>
      </c>
      <c r="C98" s="4" t="s">
        <v>10</v>
      </c>
      <c r="D98" s="4" t="s">
        <v>57</v>
      </c>
      <c r="E98" s="4" t="s">
        <v>193</v>
      </c>
      <c r="F98" s="6" t="s">
        <v>217</v>
      </c>
      <c r="G98" s="4">
        <v>2</v>
      </c>
      <c r="H98" s="4">
        <v>20000</v>
      </c>
      <c r="I98" s="4">
        <v>30000</v>
      </c>
      <c r="J98" s="4">
        <f t="shared" si="18"/>
        <v>40000</v>
      </c>
      <c r="K98" s="4">
        <f t="shared" si="19"/>
        <v>60000</v>
      </c>
      <c r="L98" s="4">
        <f t="shared" si="20"/>
        <v>8</v>
      </c>
      <c r="M98" s="4">
        <f t="shared" si="21"/>
        <v>20000</v>
      </c>
      <c r="N98" s="6">
        <f t="shared" ref="N98:N129" si="24">MONTH(B:B)</f>
        <v>8</v>
      </c>
      <c r="O98" s="6">
        <f t="shared" ref="O98:O129" si="25">YEAR(B:B)</f>
        <v>2025</v>
      </c>
      <c r="P98" s="6" t="str">
        <f t="shared" ref="P98:P129" si="26">"Q"&amp;ROUNDUP(MONTH(B:B)/3,0)</f>
        <v>Q3</v>
      </c>
      <c r="Q98" s="6" t="str">
        <f t="shared" si="22"/>
        <v>Profit</v>
      </c>
      <c r="R98" s="6" t="str">
        <f t="shared" si="14"/>
        <v>Normal</v>
      </c>
      <c r="S98" t="str">
        <f t="shared" si="23"/>
        <v>Cancelled</v>
      </c>
    </row>
    <row r="99" spans="1:19" x14ac:dyDescent="0.3">
      <c r="A99" s="4" t="s">
        <v>322</v>
      </c>
      <c r="B99" s="5">
        <v>44342</v>
      </c>
      <c r="C99" s="4" t="s">
        <v>9</v>
      </c>
      <c r="D99" s="4" t="s">
        <v>102</v>
      </c>
      <c r="E99" s="4" t="s">
        <v>190</v>
      </c>
      <c r="F99" s="6" t="s">
        <v>216</v>
      </c>
      <c r="G99" s="4">
        <v>4</v>
      </c>
      <c r="H99" s="4">
        <v>6000</v>
      </c>
      <c r="I99" s="4">
        <v>10000</v>
      </c>
      <c r="J99" s="4">
        <f t="shared" si="18"/>
        <v>24000</v>
      </c>
      <c r="K99" s="4">
        <f t="shared" si="19"/>
        <v>40000</v>
      </c>
      <c r="L99" s="4">
        <f t="shared" si="20"/>
        <v>5</v>
      </c>
      <c r="M99" s="4">
        <f t="shared" si="21"/>
        <v>16000</v>
      </c>
      <c r="N99" s="6">
        <f t="shared" si="24"/>
        <v>5</v>
      </c>
      <c r="O99" s="6">
        <f t="shared" si="25"/>
        <v>2021</v>
      </c>
      <c r="P99" s="6" t="str">
        <f t="shared" si="26"/>
        <v>Q2</v>
      </c>
      <c r="Q99" s="6" t="str">
        <f t="shared" si="22"/>
        <v>Profit</v>
      </c>
      <c r="R99" s="6" t="str">
        <f t="shared" si="14"/>
        <v>Normal</v>
      </c>
      <c r="S99" t="str">
        <f t="shared" si="23"/>
        <v>Pending</v>
      </c>
    </row>
    <row r="100" spans="1:19" x14ac:dyDescent="0.3">
      <c r="A100" s="4" t="s">
        <v>323</v>
      </c>
      <c r="B100" s="5">
        <v>45258</v>
      </c>
      <c r="C100" s="4" t="s">
        <v>9</v>
      </c>
      <c r="D100" s="4" t="s">
        <v>103</v>
      </c>
      <c r="E100" s="4" t="s">
        <v>205</v>
      </c>
      <c r="F100" s="6" t="s">
        <v>210</v>
      </c>
      <c r="G100" s="4">
        <v>4</v>
      </c>
      <c r="H100" s="4">
        <v>6000</v>
      </c>
      <c r="I100" s="4">
        <v>10000</v>
      </c>
      <c r="J100" s="4">
        <f t="shared" si="18"/>
        <v>24000</v>
      </c>
      <c r="K100" s="4">
        <f t="shared" si="19"/>
        <v>40000</v>
      </c>
      <c r="L100" s="4">
        <f t="shared" si="20"/>
        <v>11</v>
      </c>
      <c r="M100" s="4">
        <f t="shared" si="21"/>
        <v>16000</v>
      </c>
      <c r="N100" s="6">
        <f t="shared" si="24"/>
        <v>11</v>
      </c>
      <c r="O100" s="6">
        <f t="shared" si="25"/>
        <v>2023</v>
      </c>
      <c r="P100" s="6" t="str">
        <f t="shared" si="26"/>
        <v>Q4</v>
      </c>
      <c r="Q100" s="6" t="str">
        <f t="shared" si="22"/>
        <v>Profit</v>
      </c>
      <c r="R100" s="6" t="str">
        <f t="shared" si="14"/>
        <v>Top Seller</v>
      </c>
      <c r="S100" t="str">
        <f t="shared" si="23"/>
        <v>Pending</v>
      </c>
    </row>
    <row r="101" spans="1:19" x14ac:dyDescent="0.3">
      <c r="A101" s="4" t="s">
        <v>324</v>
      </c>
      <c r="B101" s="5">
        <v>45396</v>
      </c>
      <c r="C101" s="4" t="s">
        <v>12</v>
      </c>
      <c r="D101" s="4" t="s">
        <v>24</v>
      </c>
      <c r="E101" s="4" t="s">
        <v>203</v>
      </c>
      <c r="F101" s="6" t="s">
        <v>214</v>
      </c>
      <c r="G101" s="4">
        <v>8</v>
      </c>
      <c r="H101" s="4">
        <v>35000</v>
      </c>
      <c r="I101" s="4">
        <v>52000</v>
      </c>
      <c r="J101" s="4">
        <f t="shared" si="18"/>
        <v>280000</v>
      </c>
      <c r="K101" s="4">
        <f t="shared" si="19"/>
        <v>416000</v>
      </c>
      <c r="L101" s="4">
        <f t="shared" si="20"/>
        <v>4</v>
      </c>
      <c r="M101" s="4">
        <f t="shared" si="21"/>
        <v>136000</v>
      </c>
      <c r="N101" s="6">
        <f t="shared" si="24"/>
        <v>4</v>
      </c>
      <c r="O101" s="6">
        <f t="shared" si="25"/>
        <v>2024</v>
      </c>
      <c r="P101" s="6" t="str">
        <f t="shared" si="26"/>
        <v>Q2</v>
      </c>
      <c r="Q101" s="6" t="str">
        <f t="shared" si="22"/>
        <v>Profit</v>
      </c>
      <c r="R101" s="6" t="str">
        <f t="shared" si="14"/>
        <v>Normal</v>
      </c>
      <c r="S101" t="str">
        <f t="shared" si="23"/>
        <v>Pending</v>
      </c>
    </row>
    <row r="102" spans="1:19" x14ac:dyDescent="0.3">
      <c r="A102" s="4" t="s">
        <v>325</v>
      </c>
      <c r="B102" s="5">
        <v>45185</v>
      </c>
      <c r="C102" s="4" t="s">
        <v>9</v>
      </c>
      <c r="D102" s="4" t="s">
        <v>104</v>
      </c>
      <c r="E102" s="4" t="s">
        <v>200</v>
      </c>
      <c r="F102" s="6" t="s">
        <v>208</v>
      </c>
      <c r="G102" s="4">
        <v>2</v>
      </c>
      <c r="H102" s="4">
        <v>1500</v>
      </c>
      <c r="I102" s="4">
        <v>3000</v>
      </c>
      <c r="J102" s="4">
        <f t="shared" si="18"/>
        <v>3000</v>
      </c>
      <c r="K102" s="4">
        <f t="shared" si="19"/>
        <v>6000</v>
      </c>
      <c r="L102" s="4">
        <f t="shared" si="20"/>
        <v>9</v>
      </c>
      <c r="M102" s="4">
        <f t="shared" si="21"/>
        <v>3000</v>
      </c>
      <c r="N102" s="6">
        <f t="shared" si="24"/>
        <v>9</v>
      </c>
      <c r="O102" s="6">
        <f t="shared" si="25"/>
        <v>2023</v>
      </c>
      <c r="P102" s="6" t="str">
        <f t="shared" si="26"/>
        <v>Q3</v>
      </c>
      <c r="Q102" s="6" t="str">
        <f t="shared" si="22"/>
        <v>Profit</v>
      </c>
      <c r="R102" s="6" t="str">
        <f t="shared" si="14"/>
        <v>Normal</v>
      </c>
      <c r="S102" t="str">
        <f t="shared" si="23"/>
        <v>Cancelled</v>
      </c>
    </row>
    <row r="103" spans="1:19" x14ac:dyDescent="0.3">
      <c r="A103" s="4" t="s">
        <v>326</v>
      </c>
      <c r="B103" s="5">
        <v>43889</v>
      </c>
      <c r="C103" s="4" t="s">
        <v>12</v>
      </c>
      <c r="D103" s="4" t="s">
        <v>105</v>
      </c>
      <c r="E103" s="4" t="s">
        <v>194</v>
      </c>
      <c r="F103" s="6" t="s">
        <v>206</v>
      </c>
      <c r="G103" s="4">
        <v>6</v>
      </c>
      <c r="H103" s="4">
        <v>1500</v>
      </c>
      <c r="I103" s="4">
        <v>3000</v>
      </c>
      <c r="J103" s="4">
        <f t="shared" si="18"/>
        <v>9000</v>
      </c>
      <c r="K103" s="4">
        <f t="shared" si="19"/>
        <v>18000</v>
      </c>
      <c r="L103" s="4">
        <f t="shared" si="20"/>
        <v>2</v>
      </c>
      <c r="M103" s="4">
        <f t="shared" si="21"/>
        <v>9000</v>
      </c>
      <c r="N103" s="6">
        <f t="shared" si="24"/>
        <v>2</v>
      </c>
      <c r="O103" s="6">
        <f t="shared" si="25"/>
        <v>2020</v>
      </c>
      <c r="P103" s="6" t="str">
        <f t="shared" si="26"/>
        <v>Q1</v>
      </c>
      <c r="Q103" s="6" t="str">
        <f t="shared" si="22"/>
        <v>Profit</v>
      </c>
      <c r="R103" s="6" t="str">
        <f t="shared" si="14"/>
        <v>Normal</v>
      </c>
      <c r="S103" t="str">
        <f t="shared" si="23"/>
        <v>Pending</v>
      </c>
    </row>
    <row r="104" spans="1:19" x14ac:dyDescent="0.3">
      <c r="A104" s="4" t="s">
        <v>327</v>
      </c>
      <c r="B104" s="5">
        <v>44618</v>
      </c>
      <c r="C104" s="4" t="s">
        <v>11</v>
      </c>
      <c r="D104" s="4" t="s">
        <v>106</v>
      </c>
      <c r="E104" s="4" t="s">
        <v>186</v>
      </c>
      <c r="F104" s="6" t="s">
        <v>212</v>
      </c>
      <c r="G104" s="4">
        <v>3</v>
      </c>
      <c r="H104" s="4">
        <v>6000</v>
      </c>
      <c r="I104" s="4">
        <v>10000</v>
      </c>
      <c r="J104" s="4">
        <f t="shared" si="18"/>
        <v>18000</v>
      </c>
      <c r="K104" s="4">
        <f t="shared" si="19"/>
        <v>30000</v>
      </c>
      <c r="L104" s="4">
        <f t="shared" si="20"/>
        <v>2</v>
      </c>
      <c r="M104" s="4">
        <f t="shared" si="21"/>
        <v>12000</v>
      </c>
      <c r="N104" s="6">
        <f t="shared" si="24"/>
        <v>2</v>
      </c>
      <c r="O104" s="6">
        <f t="shared" si="25"/>
        <v>2022</v>
      </c>
      <c r="P104" s="6" t="str">
        <f t="shared" si="26"/>
        <v>Q1</v>
      </c>
      <c r="Q104" s="6" t="str">
        <f t="shared" si="22"/>
        <v>Profit</v>
      </c>
      <c r="R104" s="6" t="str">
        <f t="shared" si="14"/>
        <v>Normal</v>
      </c>
      <c r="S104" t="str">
        <f t="shared" si="23"/>
        <v>Pending</v>
      </c>
    </row>
    <row r="105" spans="1:19" x14ac:dyDescent="0.3">
      <c r="A105" s="4" t="s">
        <v>328</v>
      </c>
      <c r="B105" s="5">
        <v>45598</v>
      </c>
      <c r="C105" s="4" t="s">
        <v>12</v>
      </c>
      <c r="D105" s="4" t="s">
        <v>107</v>
      </c>
      <c r="E105" s="4" t="s">
        <v>188</v>
      </c>
      <c r="F105" s="6" t="s">
        <v>214</v>
      </c>
      <c r="G105" s="4">
        <v>2</v>
      </c>
      <c r="H105" s="4">
        <v>12000</v>
      </c>
      <c r="I105" s="4">
        <v>18000</v>
      </c>
      <c r="J105" s="4">
        <f t="shared" si="18"/>
        <v>24000</v>
      </c>
      <c r="K105" s="4">
        <f t="shared" si="19"/>
        <v>36000</v>
      </c>
      <c r="L105" s="4">
        <f t="shared" si="20"/>
        <v>11</v>
      </c>
      <c r="M105" s="4">
        <f t="shared" si="21"/>
        <v>12000</v>
      </c>
      <c r="N105" s="6">
        <f t="shared" si="24"/>
        <v>11</v>
      </c>
      <c r="O105" s="6">
        <f t="shared" si="25"/>
        <v>2024</v>
      </c>
      <c r="P105" s="6" t="str">
        <f t="shared" si="26"/>
        <v>Q4</v>
      </c>
      <c r="Q105" s="6" t="str">
        <f t="shared" si="22"/>
        <v>Profit</v>
      </c>
      <c r="R105" s="6" t="str">
        <f t="shared" si="14"/>
        <v>Normal</v>
      </c>
      <c r="S105" t="str">
        <f t="shared" si="23"/>
        <v>Cancelled</v>
      </c>
    </row>
    <row r="106" spans="1:19" x14ac:dyDescent="0.3">
      <c r="A106" s="4" t="s">
        <v>329</v>
      </c>
      <c r="B106" s="5">
        <v>45308</v>
      </c>
      <c r="C106" s="4" t="s">
        <v>11</v>
      </c>
      <c r="D106" s="4" t="s">
        <v>15</v>
      </c>
      <c r="E106" s="4" t="s">
        <v>197</v>
      </c>
      <c r="F106" s="6" t="s">
        <v>214</v>
      </c>
      <c r="G106" s="4">
        <v>9</v>
      </c>
      <c r="H106" s="4">
        <v>1500</v>
      </c>
      <c r="I106" s="4">
        <v>3000</v>
      </c>
      <c r="J106" s="4">
        <f t="shared" si="18"/>
        <v>13500</v>
      </c>
      <c r="K106" s="4">
        <f t="shared" si="19"/>
        <v>27000</v>
      </c>
      <c r="L106" s="4">
        <f t="shared" si="20"/>
        <v>1</v>
      </c>
      <c r="M106" s="4">
        <f t="shared" si="21"/>
        <v>13500</v>
      </c>
      <c r="N106" s="6">
        <f t="shared" si="24"/>
        <v>1</v>
      </c>
      <c r="O106" s="6">
        <f t="shared" si="25"/>
        <v>2024</v>
      </c>
      <c r="P106" s="6" t="str">
        <f t="shared" si="26"/>
        <v>Q1</v>
      </c>
      <c r="Q106" s="6" t="str">
        <f t="shared" si="22"/>
        <v>Profit</v>
      </c>
      <c r="R106" s="6" t="str">
        <f t="shared" si="14"/>
        <v>Top Seller</v>
      </c>
      <c r="S106" t="str">
        <f t="shared" si="23"/>
        <v>Pending</v>
      </c>
    </row>
    <row r="107" spans="1:19" x14ac:dyDescent="0.3">
      <c r="A107" s="4" t="s">
        <v>330</v>
      </c>
      <c r="B107" s="5">
        <v>45979</v>
      </c>
      <c r="C107" s="4" t="s">
        <v>9</v>
      </c>
      <c r="D107" s="4" t="s">
        <v>108</v>
      </c>
      <c r="E107" s="4" t="s">
        <v>198</v>
      </c>
      <c r="F107" s="6" t="s">
        <v>214</v>
      </c>
      <c r="G107" s="4">
        <v>6</v>
      </c>
      <c r="H107" s="4">
        <v>6000</v>
      </c>
      <c r="I107" s="4">
        <v>10000</v>
      </c>
      <c r="J107" s="4">
        <f t="shared" si="18"/>
        <v>36000</v>
      </c>
      <c r="K107" s="4">
        <f t="shared" si="19"/>
        <v>60000</v>
      </c>
      <c r="L107" s="4">
        <f t="shared" si="20"/>
        <v>11</v>
      </c>
      <c r="M107" s="4">
        <f t="shared" si="21"/>
        <v>24000</v>
      </c>
      <c r="N107" s="6">
        <f t="shared" si="24"/>
        <v>11</v>
      </c>
      <c r="O107" s="6">
        <f t="shared" si="25"/>
        <v>2025</v>
      </c>
      <c r="P107" s="6" t="str">
        <f t="shared" si="26"/>
        <v>Q4</v>
      </c>
      <c r="Q107" s="6" t="str">
        <f t="shared" si="22"/>
        <v>Profit</v>
      </c>
      <c r="R107" s="6" t="str">
        <f t="shared" si="14"/>
        <v>Normal</v>
      </c>
      <c r="S107" t="str">
        <f t="shared" si="23"/>
        <v>Pending</v>
      </c>
    </row>
    <row r="108" spans="1:19" x14ac:dyDescent="0.3">
      <c r="A108" s="4" t="s">
        <v>331</v>
      </c>
      <c r="B108" s="5">
        <v>44067</v>
      </c>
      <c r="C108" s="4" t="s">
        <v>11</v>
      </c>
      <c r="D108" s="4" t="s">
        <v>109</v>
      </c>
      <c r="E108" s="4" t="s">
        <v>200</v>
      </c>
      <c r="F108" s="6" t="s">
        <v>207</v>
      </c>
      <c r="G108" s="4">
        <v>8</v>
      </c>
      <c r="H108" s="4">
        <v>1500</v>
      </c>
      <c r="I108" s="4">
        <v>3000</v>
      </c>
      <c r="J108" s="4">
        <f t="shared" si="18"/>
        <v>12000</v>
      </c>
      <c r="K108" s="4">
        <f t="shared" si="19"/>
        <v>24000</v>
      </c>
      <c r="L108" s="4">
        <f t="shared" si="20"/>
        <v>8</v>
      </c>
      <c r="M108" s="4">
        <f t="shared" si="21"/>
        <v>12000</v>
      </c>
      <c r="N108" s="6">
        <f t="shared" si="24"/>
        <v>8</v>
      </c>
      <c r="O108" s="6">
        <f t="shared" si="25"/>
        <v>2020</v>
      </c>
      <c r="P108" s="6" t="str">
        <f t="shared" si="26"/>
        <v>Q3</v>
      </c>
      <c r="Q108" s="6" t="str">
        <f t="shared" si="22"/>
        <v>Profit</v>
      </c>
      <c r="R108" s="6" t="str">
        <f t="shared" si="14"/>
        <v>Normal</v>
      </c>
      <c r="S108" t="str">
        <f t="shared" si="23"/>
        <v>Pending</v>
      </c>
    </row>
    <row r="109" spans="1:19" x14ac:dyDescent="0.3">
      <c r="A109" s="4" t="s">
        <v>332</v>
      </c>
      <c r="B109" s="5">
        <v>44079</v>
      </c>
      <c r="C109" s="4" t="s">
        <v>9</v>
      </c>
      <c r="D109" s="4" t="s">
        <v>110</v>
      </c>
      <c r="E109" s="4" t="s">
        <v>193</v>
      </c>
      <c r="F109" s="6" t="s">
        <v>216</v>
      </c>
      <c r="G109" s="4">
        <v>3</v>
      </c>
      <c r="H109" s="4">
        <v>1500</v>
      </c>
      <c r="I109" s="4">
        <v>3000</v>
      </c>
      <c r="J109" s="4">
        <f t="shared" si="18"/>
        <v>4500</v>
      </c>
      <c r="K109" s="4">
        <f t="shared" si="19"/>
        <v>9000</v>
      </c>
      <c r="L109" s="4">
        <f t="shared" si="20"/>
        <v>9</v>
      </c>
      <c r="M109" s="4">
        <f t="shared" si="21"/>
        <v>4500</v>
      </c>
      <c r="N109" s="6">
        <f t="shared" si="24"/>
        <v>9</v>
      </c>
      <c r="O109" s="6">
        <f t="shared" si="25"/>
        <v>2020</v>
      </c>
      <c r="P109" s="6" t="str">
        <f t="shared" si="26"/>
        <v>Q3</v>
      </c>
      <c r="Q109" s="6" t="str">
        <f t="shared" si="22"/>
        <v>Profit</v>
      </c>
      <c r="R109" s="6" t="str">
        <f t="shared" si="14"/>
        <v>Top Seller</v>
      </c>
      <c r="S109" t="str">
        <f t="shared" si="23"/>
        <v>Pending</v>
      </c>
    </row>
    <row r="110" spans="1:19" x14ac:dyDescent="0.3">
      <c r="A110" s="4" t="s">
        <v>333</v>
      </c>
      <c r="B110" s="5">
        <v>45041</v>
      </c>
      <c r="C110" s="4" t="s">
        <v>9</v>
      </c>
      <c r="D110" s="4" t="s">
        <v>86</v>
      </c>
      <c r="E110" s="4" t="s">
        <v>205</v>
      </c>
      <c r="F110" s="6" t="s">
        <v>212</v>
      </c>
      <c r="G110" s="4">
        <v>9</v>
      </c>
      <c r="H110" s="4">
        <v>6000</v>
      </c>
      <c r="I110" s="4">
        <v>10000</v>
      </c>
      <c r="J110" s="4">
        <f t="shared" si="18"/>
        <v>54000</v>
      </c>
      <c r="K110" s="4">
        <f t="shared" si="19"/>
        <v>90000</v>
      </c>
      <c r="L110" s="4">
        <f t="shared" si="20"/>
        <v>4</v>
      </c>
      <c r="M110" s="4">
        <f t="shared" si="21"/>
        <v>36000</v>
      </c>
      <c r="N110" s="6">
        <f t="shared" si="24"/>
        <v>4</v>
      </c>
      <c r="O110" s="6">
        <f t="shared" si="25"/>
        <v>2023</v>
      </c>
      <c r="P110" s="6" t="str">
        <f t="shared" si="26"/>
        <v>Q2</v>
      </c>
      <c r="Q110" s="6" t="str">
        <f t="shared" si="22"/>
        <v>Profit</v>
      </c>
      <c r="R110" s="6" t="str">
        <f t="shared" si="14"/>
        <v>Top Seller</v>
      </c>
      <c r="S110" t="str">
        <f t="shared" si="23"/>
        <v>Pending</v>
      </c>
    </row>
    <row r="111" spans="1:19" x14ac:dyDescent="0.3">
      <c r="A111" s="4" t="s">
        <v>334</v>
      </c>
      <c r="B111" s="5">
        <v>45220</v>
      </c>
      <c r="C111" s="4" t="s">
        <v>11</v>
      </c>
      <c r="D111" s="4" t="s">
        <v>111</v>
      </c>
      <c r="E111" s="4" t="s">
        <v>187</v>
      </c>
      <c r="F111" s="6" t="s">
        <v>209</v>
      </c>
      <c r="G111" s="4">
        <v>7</v>
      </c>
      <c r="H111" s="4">
        <v>35000</v>
      </c>
      <c r="I111" s="4">
        <v>52000</v>
      </c>
      <c r="J111" s="4">
        <f t="shared" si="18"/>
        <v>245000</v>
      </c>
      <c r="K111" s="4">
        <f t="shared" si="19"/>
        <v>364000</v>
      </c>
      <c r="L111" s="4">
        <f t="shared" si="20"/>
        <v>10</v>
      </c>
      <c r="M111" s="4">
        <f t="shared" si="21"/>
        <v>119000</v>
      </c>
      <c r="N111" s="6">
        <f t="shared" si="24"/>
        <v>10</v>
      </c>
      <c r="O111" s="6">
        <f t="shared" si="25"/>
        <v>2023</v>
      </c>
      <c r="P111" s="6" t="str">
        <f t="shared" si="26"/>
        <v>Q4</v>
      </c>
      <c r="Q111" s="6" t="str">
        <f t="shared" si="22"/>
        <v>Profit</v>
      </c>
      <c r="R111" s="6" t="str">
        <f t="shared" si="14"/>
        <v>Top Seller</v>
      </c>
      <c r="S111" t="str">
        <f t="shared" si="23"/>
        <v>Pending</v>
      </c>
    </row>
    <row r="112" spans="1:19" x14ac:dyDescent="0.3">
      <c r="A112" s="4" t="s">
        <v>335</v>
      </c>
      <c r="B112" s="5">
        <v>44680</v>
      </c>
      <c r="C112" s="4" t="s">
        <v>10</v>
      </c>
      <c r="D112" s="4" t="s">
        <v>112</v>
      </c>
      <c r="E112" s="4" t="s">
        <v>201</v>
      </c>
      <c r="F112" s="6" t="s">
        <v>214</v>
      </c>
      <c r="G112" s="4">
        <v>4</v>
      </c>
      <c r="H112" s="4">
        <v>35000</v>
      </c>
      <c r="I112" s="4">
        <v>52000</v>
      </c>
      <c r="J112" s="4">
        <f t="shared" si="18"/>
        <v>140000</v>
      </c>
      <c r="K112" s="4">
        <f t="shared" si="19"/>
        <v>208000</v>
      </c>
      <c r="L112" s="4">
        <f t="shared" si="20"/>
        <v>4</v>
      </c>
      <c r="M112" s="4">
        <f t="shared" si="21"/>
        <v>68000</v>
      </c>
      <c r="N112" s="6">
        <f t="shared" si="24"/>
        <v>4</v>
      </c>
      <c r="O112" s="6">
        <f t="shared" si="25"/>
        <v>2022</v>
      </c>
      <c r="P112" s="6" t="str">
        <f t="shared" si="26"/>
        <v>Q2</v>
      </c>
      <c r="Q112" s="6" t="str">
        <f t="shared" si="22"/>
        <v>Profit</v>
      </c>
      <c r="R112" s="6" t="str">
        <f t="shared" ref="R112:R175" si="27">IF(K113&gt;50000,"Top Seller","Normal")</f>
        <v>Top Seller</v>
      </c>
      <c r="S112" t="str">
        <f t="shared" si="23"/>
        <v>Pending</v>
      </c>
    </row>
    <row r="113" spans="1:19" x14ac:dyDescent="0.3">
      <c r="A113" s="4" t="s">
        <v>336</v>
      </c>
      <c r="B113" s="5">
        <v>45889</v>
      </c>
      <c r="C113" s="4" t="s">
        <v>12</v>
      </c>
      <c r="D113" s="4" t="s">
        <v>113</v>
      </c>
      <c r="E113" s="4" t="s">
        <v>197</v>
      </c>
      <c r="F113" s="6" t="s">
        <v>207</v>
      </c>
      <c r="G113" s="4">
        <v>3</v>
      </c>
      <c r="H113" s="4">
        <v>35000</v>
      </c>
      <c r="I113" s="4">
        <v>52000</v>
      </c>
      <c r="J113" s="4">
        <f t="shared" si="18"/>
        <v>105000</v>
      </c>
      <c r="K113" s="4">
        <f t="shared" si="19"/>
        <v>156000</v>
      </c>
      <c r="L113" s="4">
        <f t="shared" si="20"/>
        <v>8</v>
      </c>
      <c r="M113" s="4">
        <f t="shared" si="21"/>
        <v>51000</v>
      </c>
      <c r="N113" s="6">
        <f t="shared" si="24"/>
        <v>8</v>
      </c>
      <c r="O113" s="6">
        <f t="shared" si="25"/>
        <v>2025</v>
      </c>
      <c r="P113" s="6" t="str">
        <f t="shared" si="26"/>
        <v>Q3</v>
      </c>
      <c r="Q113" s="6" t="str">
        <f t="shared" si="22"/>
        <v>Profit</v>
      </c>
      <c r="R113" s="6" t="str">
        <f t="shared" si="27"/>
        <v>Top Seller</v>
      </c>
      <c r="S113" t="str">
        <f t="shared" si="23"/>
        <v>Pending</v>
      </c>
    </row>
    <row r="114" spans="1:19" x14ac:dyDescent="0.3">
      <c r="A114" s="4" t="s">
        <v>337</v>
      </c>
      <c r="B114" s="5">
        <v>44056</v>
      </c>
      <c r="C114" s="4" t="s">
        <v>10</v>
      </c>
      <c r="D114" s="4" t="s">
        <v>114</v>
      </c>
      <c r="E114" s="4" t="s">
        <v>189</v>
      </c>
      <c r="F114" s="6" t="s">
        <v>212</v>
      </c>
      <c r="G114" s="4">
        <v>2</v>
      </c>
      <c r="H114" s="4">
        <v>20000</v>
      </c>
      <c r="I114" s="4">
        <v>30000</v>
      </c>
      <c r="J114" s="4">
        <f t="shared" si="18"/>
        <v>40000</v>
      </c>
      <c r="K114" s="4">
        <f t="shared" si="19"/>
        <v>60000</v>
      </c>
      <c r="L114" s="4">
        <f t="shared" si="20"/>
        <v>8</v>
      </c>
      <c r="M114" s="4">
        <f t="shared" si="21"/>
        <v>20000</v>
      </c>
      <c r="N114" s="6">
        <f t="shared" si="24"/>
        <v>8</v>
      </c>
      <c r="O114" s="6">
        <f t="shared" si="25"/>
        <v>2020</v>
      </c>
      <c r="P114" s="6" t="str">
        <f t="shared" si="26"/>
        <v>Q3</v>
      </c>
      <c r="Q114" s="6" t="str">
        <f t="shared" si="22"/>
        <v>Profit</v>
      </c>
      <c r="R114" s="6" t="str">
        <f t="shared" si="27"/>
        <v>Top Seller</v>
      </c>
      <c r="S114" t="str">
        <f t="shared" si="23"/>
        <v>Cancelled</v>
      </c>
    </row>
    <row r="115" spans="1:19" x14ac:dyDescent="0.3">
      <c r="A115" s="4" t="s">
        <v>338</v>
      </c>
      <c r="B115" s="5">
        <v>44795</v>
      </c>
      <c r="C115" s="4" t="s">
        <v>9</v>
      </c>
      <c r="D115" s="4" t="s">
        <v>81</v>
      </c>
      <c r="E115" s="4" t="s">
        <v>188</v>
      </c>
      <c r="F115" s="6" t="s">
        <v>209</v>
      </c>
      <c r="G115" s="4">
        <v>9</v>
      </c>
      <c r="H115" s="4">
        <v>35000</v>
      </c>
      <c r="I115" s="4">
        <v>52000</v>
      </c>
      <c r="J115" s="4">
        <f t="shared" si="18"/>
        <v>315000</v>
      </c>
      <c r="K115" s="4">
        <f t="shared" si="19"/>
        <v>468000</v>
      </c>
      <c r="L115" s="4">
        <f t="shared" si="20"/>
        <v>8</v>
      </c>
      <c r="M115" s="4">
        <f t="shared" si="21"/>
        <v>153000</v>
      </c>
      <c r="N115" s="6">
        <f t="shared" si="24"/>
        <v>8</v>
      </c>
      <c r="O115" s="6">
        <f t="shared" si="25"/>
        <v>2022</v>
      </c>
      <c r="P115" s="6" t="str">
        <f t="shared" si="26"/>
        <v>Q3</v>
      </c>
      <c r="Q115" s="6" t="str">
        <f t="shared" si="22"/>
        <v>Profit</v>
      </c>
      <c r="R115" s="6" t="str">
        <f t="shared" si="27"/>
        <v>Top Seller</v>
      </c>
      <c r="S115" t="str">
        <f t="shared" si="23"/>
        <v>Pending</v>
      </c>
    </row>
    <row r="116" spans="1:19" x14ac:dyDescent="0.3">
      <c r="A116" s="4" t="s">
        <v>339</v>
      </c>
      <c r="B116" s="5">
        <v>45356</v>
      </c>
      <c r="C116" s="4" t="s">
        <v>11</v>
      </c>
      <c r="D116" s="4" t="s">
        <v>115</v>
      </c>
      <c r="E116" s="4" t="s">
        <v>191</v>
      </c>
      <c r="F116" s="6" t="s">
        <v>212</v>
      </c>
      <c r="G116" s="4">
        <v>8</v>
      </c>
      <c r="H116" s="4">
        <v>35000</v>
      </c>
      <c r="I116" s="4">
        <v>52000</v>
      </c>
      <c r="J116" s="4">
        <f t="shared" si="18"/>
        <v>280000</v>
      </c>
      <c r="K116" s="4">
        <f t="shared" si="19"/>
        <v>416000</v>
      </c>
      <c r="L116" s="4">
        <f t="shared" si="20"/>
        <v>3</v>
      </c>
      <c r="M116" s="4">
        <f t="shared" si="21"/>
        <v>136000</v>
      </c>
      <c r="N116" s="6">
        <f t="shared" si="24"/>
        <v>3</v>
      </c>
      <c r="O116" s="6">
        <f t="shared" si="25"/>
        <v>2024</v>
      </c>
      <c r="P116" s="6" t="str">
        <f t="shared" si="26"/>
        <v>Q1</v>
      </c>
      <c r="Q116" s="6" t="str">
        <f t="shared" si="22"/>
        <v>Profit</v>
      </c>
      <c r="R116" s="6" t="str">
        <f t="shared" si="27"/>
        <v>Top Seller</v>
      </c>
      <c r="S116" t="str">
        <f t="shared" si="23"/>
        <v>Pending</v>
      </c>
    </row>
    <row r="117" spans="1:19" x14ac:dyDescent="0.3">
      <c r="A117" s="4" t="s">
        <v>340</v>
      </c>
      <c r="B117" s="5">
        <v>45629</v>
      </c>
      <c r="C117" s="4" t="s">
        <v>12</v>
      </c>
      <c r="D117" s="4" t="s">
        <v>116</v>
      </c>
      <c r="E117" s="4" t="s">
        <v>188</v>
      </c>
      <c r="F117" s="6" t="s">
        <v>214</v>
      </c>
      <c r="G117" s="4">
        <v>2</v>
      </c>
      <c r="H117" s="4">
        <v>20000</v>
      </c>
      <c r="I117" s="4">
        <v>30000</v>
      </c>
      <c r="J117" s="4">
        <f t="shared" si="18"/>
        <v>40000</v>
      </c>
      <c r="K117" s="4">
        <f t="shared" si="19"/>
        <v>60000</v>
      </c>
      <c r="L117" s="4">
        <f t="shared" si="20"/>
        <v>12</v>
      </c>
      <c r="M117" s="4">
        <f t="shared" si="21"/>
        <v>20000</v>
      </c>
      <c r="N117" s="6">
        <f t="shared" si="24"/>
        <v>12</v>
      </c>
      <c r="O117" s="6">
        <f t="shared" si="25"/>
        <v>2024</v>
      </c>
      <c r="P117" s="6" t="str">
        <f t="shared" si="26"/>
        <v>Q4</v>
      </c>
      <c r="Q117" s="6" t="str">
        <f t="shared" si="22"/>
        <v>Profit</v>
      </c>
      <c r="R117" s="6" t="str">
        <f t="shared" si="27"/>
        <v>Top Seller</v>
      </c>
      <c r="S117" t="str">
        <f t="shared" si="23"/>
        <v>Cancelled</v>
      </c>
    </row>
    <row r="118" spans="1:19" x14ac:dyDescent="0.3">
      <c r="A118" s="4" t="s">
        <v>341</v>
      </c>
      <c r="B118" s="5">
        <v>44579</v>
      </c>
      <c r="C118" s="4" t="s">
        <v>10</v>
      </c>
      <c r="D118" s="4" t="s">
        <v>65</v>
      </c>
      <c r="E118" s="4" t="s">
        <v>198</v>
      </c>
      <c r="F118" s="6" t="s">
        <v>209</v>
      </c>
      <c r="G118" s="4">
        <v>2</v>
      </c>
      <c r="H118" s="4">
        <v>35000</v>
      </c>
      <c r="I118" s="4">
        <v>52000</v>
      </c>
      <c r="J118" s="4">
        <f t="shared" si="18"/>
        <v>70000</v>
      </c>
      <c r="K118" s="4">
        <f t="shared" si="19"/>
        <v>104000</v>
      </c>
      <c r="L118" s="4">
        <f t="shared" si="20"/>
        <v>1</v>
      </c>
      <c r="M118" s="4">
        <f t="shared" si="21"/>
        <v>34000</v>
      </c>
      <c r="N118" s="6">
        <f t="shared" si="24"/>
        <v>1</v>
      </c>
      <c r="O118" s="6">
        <f t="shared" si="25"/>
        <v>2022</v>
      </c>
      <c r="P118" s="6" t="str">
        <f t="shared" si="26"/>
        <v>Q1</v>
      </c>
      <c r="Q118" s="6" t="str">
        <f t="shared" si="22"/>
        <v>Profit</v>
      </c>
      <c r="R118" s="6" t="str">
        <f t="shared" si="27"/>
        <v>Top Seller</v>
      </c>
      <c r="S118" t="str">
        <f t="shared" si="23"/>
        <v>Cancelled</v>
      </c>
    </row>
    <row r="119" spans="1:19" x14ac:dyDescent="0.3">
      <c r="A119" s="4" t="s">
        <v>342</v>
      </c>
      <c r="B119" s="5">
        <v>44314</v>
      </c>
      <c r="C119" s="4" t="s">
        <v>9</v>
      </c>
      <c r="D119" s="4" t="s">
        <v>117</v>
      </c>
      <c r="E119" s="4" t="s">
        <v>201</v>
      </c>
      <c r="F119" s="6" t="s">
        <v>209</v>
      </c>
      <c r="G119" s="4">
        <v>6</v>
      </c>
      <c r="H119" s="4">
        <v>6000</v>
      </c>
      <c r="I119" s="4">
        <v>10000</v>
      </c>
      <c r="J119" s="4">
        <f t="shared" si="18"/>
        <v>36000</v>
      </c>
      <c r="K119" s="4">
        <f t="shared" si="19"/>
        <v>60000</v>
      </c>
      <c r="L119" s="4">
        <f t="shared" si="20"/>
        <v>4</v>
      </c>
      <c r="M119" s="4">
        <f t="shared" si="21"/>
        <v>24000</v>
      </c>
      <c r="N119" s="6">
        <f t="shared" si="24"/>
        <v>4</v>
      </c>
      <c r="O119" s="6">
        <f t="shared" si="25"/>
        <v>2021</v>
      </c>
      <c r="P119" s="6" t="str">
        <f t="shared" si="26"/>
        <v>Q2</v>
      </c>
      <c r="Q119" s="6" t="str">
        <f t="shared" si="22"/>
        <v>Profit</v>
      </c>
      <c r="R119" s="6" t="str">
        <f t="shared" si="27"/>
        <v>Normal</v>
      </c>
      <c r="S119" t="str">
        <f t="shared" si="23"/>
        <v>Pending</v>
      </c>
    </row>
    <row r="120" spans="1:19" x14ac:dyDescent="0.3">
      <c r="A120" s="4" t="s">
        <v>343</v>
      </c>
      <c r="B120" s="5">
        <v>45146</v>
      </c>
      <c r="C120" s="4" t="s">
        <v>10</v>
      </c>
      <c r="D120" s="4" t="s">
        <v>118</v>
      </c>
      <c r="E120" s="4" t="s">
        <v>191</v>
      </c>
      <c r="F120" s="6" t="s">
        <v>211</v>
      </c>
      <c r="G120" s="4">
        <v>1</v>
      </c>
      <c r="H120" s="4">
        <v>12000</v>
      </c>
      <c r="I120" s="4">
        <v>18000</v>
      </c>
      <c r="J120" s="4">
        <f t="shared" si="18"/>
        <v>12000</v>
      </c>
      <c r="K120" s="4">
        <f t="shared" si="19"/>
        <v>18000</v>
      </c>
      <c r="L120" s="4">
        <f t="shared" si="20"/>
        <v>8</v>
      </c>
      <c r="M120" s="4">
        <f t="shared" si="21"/>
        <v>6000</v>
      </c>
      <c r="N120" s="6">
        <f t="shared" si="24"/>
        <v>8</v>
      </c>
      <c r="O120" s="6">
        <f t="shared" si="25"/>
        <v>2023</v>
      </c>
      <c r="P120" s="6" t="str">
        <f t="shared" si="26"/>
        <v>Q3</v>
      </c>
      <c r="Q120" s="6" t="str">
        <f t="shared" si="22"/>
        <v>Profit</v>
      </c>
      <c r="R120" s="6" t="str">
        <f t="shared" si="27"/>
        <v>Top Seller</v>
      </c>
      <c r="S120" t="str">
        <f t="shared" si="23"/>
        <v>Cancelled</v>
      </c>
    </row>
    <row r="121" spans="1:19" x14ac:dyDescent="0.3">
      <c r="A121" s="4" t="s">
        <v>344</v>
      </c>
      <c r="B121" s="5">
        <v>43925</v>
      </c>
      <c r="C121" s="4" t="s">
        <v>9</v>
      </c>
      <c r="D121" s="4" t="s">
        <v>119</v>
      </c>
      <c r="E121" s="4" t="s">
        <v>196</v>
      </c>
      <c r="F121" s="6" t="s">
        <v>209</v>
      </c>
      <c r="G121" s="4">
        <v>1</v>
      </c>
      <c r="H121" s="4">
        <v>35000</v>
      </c>
      <c r="I121" s="4">
        <v>52000</v>
      </c>
      <c r="J121" s="4">
        <f t="shared" si="18"/>
        <v>35000</v>
      </c>
      <c r="K121" s="4">
        <f t="shared" si="19"/>
        <v>52000</v>
      </c>
      <c r="L121" s="4">
        <f t="shared" si="20"/>
        <v>4</v>
      </c>
      <c r="M121" s="4">
        <f t="shared" si="21"/>
        <v>17000</v>
      </c>
      <c r="N121" s="6">
        <f t="shared" si="24"/>
        <v>4</v>
      </c>
      <c r="O121" s="6">
        <f t="shared" si="25"/>
        <v>2020</v>
      </c>
      <c r="P121" s="6" t="str">
        <f t="shared" si="26"/>
        <v>Q2</v>
      </c>
      <c r="Q121" s="6" t="str">
        <f t="shared" si="22"/>
        <v>Profit</v>
      </c>
      <c r="R121" s="6" t="str">
        <f t="shared" si="27"/>
        <v>Top Seller</v>
      </c>
      <c r="S121" t="str">
        <f t="shared" si="23"/>
        <v>Cancelled</v>
      </c>
    </row>
    <row r="122" spans="1:19" x14ac:dyDescent="0.3">
      <c r="A122" s="4" t="s">
        <v>345</v>
      </c>
      <c r="B122" s="5">
        <v>45094</v>
      </c>
      <c r="C122" s="4" t="s">
        <v>9</v>
      </c>
      <c r="D122" s="4" t="s">
        <v>120</v>
      </c>
      <c r="E122" s="4" t="s">
        <v>202</v>
      </c>
      <c r="F122" s="6" t="s">
        <v>211</v>
      </c>
      <c r="G122" s="4">
        <v>10</v>
      </c>
      <c r="H122" s="4">
        <v>20000</v>
      </c>
      <c r="I122" s="4">
        <v>30000</v>
      </c>
      <c r="J122" s="4">
        <f t="shared" si="18"/>
        <v>200000</v>
      </c>
      <c r="K122" s="4">
        <f t="shared" si="19"/>
        <v>300000</v>
      </c>
      <c r="L122" s="4">
        <f t="shared" si="20"/>
        <v>6</v>
      </c>
      <c r="M122" s="4">
        <f t="shared" si="21"/>
        <v>100000</v>
      </c>
      <c r="N122" s="6">
        <f t="shared" si="24"/>
        <v>6</v>
      </c>
      <c r="O122" s="6">
        <f t="shared" si="25"/>
        <v>2023</v>
      </c>
      <c r="P122" s="6" t="str">
        <f t="shared" si="26"/>
        <v>Q2</v>
      </c>
      <c r="Q122" s="6" t="str">
        <f t="shared" si="22"/>
        <v>Profit</v>
      </c>
      <c r="R122" s="6" t="str">
        <f t="shared" si="27"/>
        <v>Top Seller</v>
      </c>
      <c r="S122" t="str">
        <f t="shared" si="23"/>
        <v>Completed</v>
      </c>
    </row>
    <row r="123" spans="1:19" x14ac:dyDescent="0.3">
      <c r="A123" s="4" t="s">
        <v>346</v>
      </c>
      <c r="B123" s="5">
        <v>44666</v>
      </c>
      <c r="C123" s="4" t="s">
        <v>11</v>
      </c>
      <c r="D123" s="4" t="s">
        <v>20</v>
      </c>
      <c r="E123" s="4" t="s">
        <v>196</v>
      </c>
      <c r="F123" s="6" t="s">
        <v>214</v>
      </c>
      <c r="G123" s="4">
        <v>4</v>
      </c>
      <c r="H123" s="4">
        <v>35000</v>
      </c>
      <c r="I123" s="4">
        <v>52000</v>
      </c>
      <c r="J123" s="4">
        <f t="shared" si="18"/>
        <v>140000</v>
      </c>
      <c r="K123" s="4">
        <f t="shared" si="19"/>
        <v>208000</v>
      </c>
      <c r="L123" s="4">
        <f t="shared" si="20"/>
        <v>4</v>
      </c>
      <c r="M123" s="4">
        <f t="shared" si="21"/>
        <v>68000</v>
      </c>
      <c r="N123" s="6">
        <f t="shared" si="24"/>
        <v>4</v>
      </c>
      <c r="O123" s="6">
        <f t="shared" si="25"/>
        <v>2022</v>
      </c>
      <c r="P123" s="6" t="str">
        <f t="shared" si="26"/>
        <v>Q2</v>
      </c>
      <c r="Q123" s="6" t="str">
        <f t="shared" si="22"/>
        <v>Profit</v>
      </c>
      <c r="R123" s="6" t="str">
        <f t="shared" si="27"/>
        <v>Normal</v>
      </c>
      <c r="S123" t="str">
        <f t="shared" si="23"/>
        <v>Pending</v>
      </c>
    </row>
    <row r="124" spans="1:19" x14ac:dyDescent="0.3">
      <c r="A124" s="4" t="s">
        <v>347</v>
      </c>
      <c r="B124" s="5">
        <v>45163</v>
      </c>
      <c r="C124" s="4" t="s">
        <v>12</v>
      </c>
      <c r="D124" s="4" t="s">
        <v>121</v>
      </c>
      <c r="E124" s="4" t="s">
        <v>198</v>
      </c>
      <c r="F124" s="6" t="s">
        <v>209</v>
      </c>
      <c r="G124" s="4">
        <v>1</v>
      </c>
      <c r="H124" s="4">
        <v>12000</v>
      </c>
      <c r="I124" s="4">
        <v>18000</v>
      </c>
      <c r="J124" s="4">
        <f t="shared" si="18"/>
        <v>12000</v>
      </c>
      <c r="K124" s="4">
        <f t="shared" si="19"/>
        <v>18000</v>
      </c>
      <c r="L124" s="4">
        <f t="shared" si="20"/>
        <v>8</v>
      </c>
      <c r="M124" s="4">
        <f t="shared" si="21"/>
        <v>6000</v>
      </c>
      <c r="N124" s="6">
        <f t="shared" si="24"/>
        <v>8</v>
      </c>
      <c r="O124" s="6">
        <f t="shared" si="25"/>
        <v>2023</v>
      </c>
      <c r="P124" s="6" t="str">
        <f t="shared" si="26"/>
        <v>Q3</v>
      </c>
      <c r="Q124" s="6" t="str">
        <f t="shared" si="22"/>
        <v>Profit</v>
      </c>
      <c r="R124" s="6" t="str">
        <f t="shared" si="27"/>
        <v>Normal</v>
      </c>
      <c r="S124" t="str">
        <f t="shared" si="23"/>
        <v>Cancelled</v>
      </c>
    </row>
    <row r="125" spans="1:19" x14ac:dyDescent="0.3">
      <c r="A125" s="4" t="s">
        <v>348</v>
      </c>
      <c r="B125" s="5">
        <v>43969</v>
      </c>
      <c r="C125" s="4" t="s">
        <v>12</v>
      </c>
      <c r="D125" s="4" t="s">
        <v>122</v>
      </c>
      <c r="E125" s="4" t="s">
        <v>191</v>
      </c>
      <c r="F125" s="6" t="s">
        <v>213</v>
      </c>
      <c r="G125" s="4">
        <v>1</v>
      </c>
      <c r="H125" s="4">
        <v>20000</v>
      </c>
      <c r="I125" s="4">
        <v>30000</v>
      </c>
      <c r="J125" s="4">
        <f t="shared" si="18"/>
        <v>20000</v>
      </c>
      <c r="K125" s="4">
        <f t="shared" si="19"/>
        <v>30000</v>
      </c>
      <c r="L125" s="4">
        <f t="shared" si="20"/>
        <v>5</v>
      </c>
      <c r="M125" s="4">
        <f t="shared" si="21"/>
        <v>10000</v>
      </c>
      <c r="N125" s="6">
        <f t="shared" si="24"/>
        <v>5</v>
      </c>
      <c r="O125" s="6">
        <f t="shared" si="25"/>
        <v>2020</v>
      </c>
      <c r="P125" s="6" t="str">
        <f t="shared" si="26"/>
        <v>Q2</v>
      </c>
      <c r="Q125" s="6" t="str">
        <f t="shared" si="22"/>
        <v>Profit</v>
      </c>
      <c r="R125" s="6" t="str">
        <f t="shared" si="27"/>
        <v>Top Seller</v>
      </c>
      <c r="S125" t="str">
        <f t="shared" si="23"/>
        <v>Cancelled</v>
      </c>
    </row>
    <row r="126" spans="1:19" x14ac:dyDescent="0.3">
      <c r="A126" s="4" t="s">
        <v>349</v>
      </c>
      <c r="B126" s="5">
        <v>43924</v>
      </c>
      <c r="C126" s="4" t="s">
        <v>11</v>
      </c>
      <c r="D126" s="4" t="s">
        <v>94</v>
      </c>
      <c r="E126" s="4" t="s">
        <v>199</v>
      </c>
      <c r="F126" s="6" t="s">
        <v>207</v>
      </c>
      <c r="G126" s="4">
        <v>9</v>
      </c>
      <c r="H126" s="4">
        <v>12000</v>
      </c>
      <c r="I126" s="4">
        <v>18000</v>
      </c>
      <c r="J126" s="4">
        <f t="shared" si="18"/>
        <v>108000</v>
      </c>
      <c r="K126" s="4">
        <f t="shared" si="19"/>
        <v>162000</v>
      </c>
      <c r="L126" s="4">
        <f t="shared" si="20"/>
        <v>4</v>
      </c>
      <c r="M126" s="4">
        <f t="shared" si="21"/>
        <v>54000</v>
      </c>
      <c r="N126" s="6">
        <f t="shared" si="24"/>
        <v>4</v>
      </c>
      <c r="O126" s="6">
        <f t="shared" si="25"/>
        <v>2020</v>
      </c>
      <c r="P126" s="6" t="str">
        <f t="shared" si="26"/>
        <v>Q2</v>
      </c>
      <c r="Q126" s="6" t="str">
        <f t="shared" si="22"/>
        <v>Profit</v>
      </c>
      <c r="R126" s="6" t="str">
        <f t="shared" si="27"/>
        <v>Top Seller</v>
      </c>
      <c r="S126" t="str">
        <f t="shared" si="23"/>
        <v>Pending</v>
      </c>
    </row>
    <row r="127" spans="1:19" x14ac:dyDescent="0.3">
      <c r="A127" s="4" t="s">
        <v>350</v>
      </c>
      <c r="B127" s="5">
        <v>45789</v>
      </c>
      <c r="C127" s="4" t="s">
        <v>9</v>
      </c>
      <c r="D127" s="4" t="s">
        <v>123</v>
      </c>
      <c r="E127" s="4" t="s">
        <v>189</v>
      </c>
      <c r="F127" s="6" t="s">
        <v>207</v>
      </c>
      <c r="G127" s="4">
        <v>4</v>
      </c>
      <c r="H127" s="4">
        <v>35000</v>
      </c>
      <c r="I127" s="4">
        <v>52000</v>
      </c>
      <c r="J127" s="4">
        <f t="shared" si="18"/>
        <v>140000</v>
      </c>
      <c r="K127" s="4">
        <f t="shared" si="19"/>
        <v>208000</v>
      </c>
      <c r="L127" s="4">
        <f t="shared" si="20"/>
        <v>5</v>
      </c>
      <c r="M127" s="4">
        <f t="shared" si="21"/>
        <v>68000</v>
      </c>
      <c r="N127" s="6">
        <f t="shared" si="24"/>
        <v>5</v>
      </c>
      <c r="O127" s="6">
        <f t="shared" si="25"/>
        <v>2025</v>
      </c>
      <c r="P127" s="6" t="str">
        <f t="shared" si="26"/>
        <v>Q2</v>
      </c>
      <c r="Q127" s="6" t="str">
        <f t="shared" si="22"/>
        <v>Profit</v>
      </c>
      <c r="R127" s="6" t="str">
        <f t="shared" si="27"/>
        <v>Normal</v>
      </c>
      <c r="S127" t="str">
        <f t="shared" si="23"/>
        <v>Pending</v>
      </c>
    </row>
    <row r="128" spans="1:19" x14ac:dyDescent="0.3">
      <c r="A128" s="4" t="s">
        <v>351</v>
      </c>
      <c r="B128" s="5">
        <v>44273</v>
      </c>
      <c r="C128" s="4" t="s">
        <v>11</v>
      </c>
      <c r="D128" s="4" t="s">
        <v>124</v>
      </c>
      <c r="E128" s="4" t="s">
        <v>193</v>
      </c>
      <c r="F128" s="6" t="s">
        <v>207</v>
      </c>
      <c r="G128" s="4">
        <v>2</v>
      </c>
      <c r="H128" s="4">
        <v>6000</v>
      </c>
      <c r="I128" s="4">
        <v>10000</v>
      </c>
      <c r="J128" s="4">
        <f t="shared" si="18"/>
        <v>12000</v>
      </c>
      <c r="K128" s="4">
        <f t="shared" si="19"/>
        <v>20000</v>
      </c>
      <c r="L128" s="4">
        <f t="shared" si="20"/>
        <v>3</v>
      </c>
      <c r="M128" s="4">
        <f t="shared" si="21"/>
        <v>8000</v>
      </c>
      <c r="N128" s="6">
        <f t="shared" si="24"/>
        <v>3</v>
      </c>
      <c r="O128" s="6">
        <f t="shared" si="25"/>
        <v>2021</v>
      </c>
      <c r="P128" s="6" t="str">
        <f t="shared" si="26"/>
        <v>Q1</v>
      </c>
      <c r="Q128" s="6" t="str">
        <f t="shared" si="22"/>
        <v>Profit</v>
      </c>
      <c r="R128" s="6" t="str">
        <f t="shared" si="27"/>
        <v>Normal</v>
      </c>
      <c r="S128" t="str">
        <f t="shared" si="23"/>
        <v>Cancelled</v>
      </c>
    </row>
    <row r="129" spans="1:19" x14ac:dyDescent="0.3">
      <c r="A129" s="4" t="s">
        <v>352</v>
      </c>
      <c r="B129" s="5">
        <v>45942</v>
      </c>
      <c r="C129" s="4" t="s">
        <v>9</v>
      </c>
      <c r="D129" s="4" t="s">
        <v>125</v>
      </c>
      <c r="E129" s="4" t="s">
        <v>189</v>
      </c>
      <c r="F129" s="6" t="s">
        <v>216</v>
      </c>
      <c r="G129" s="4">
        <v>2</v>
      </c>
      <c r="H129" s="4">
        <v>6000</v>
      </c>
      <c r="I129" s="4">
        <v>10000</v>
      </c>
      <c r="J129" s="4">
        <f t="shared" si="18"/>
        <v>12000</v>
      </c>
      <c r="K129" s="4">
        <f t="shared" si="19"/>
        <v>20000</v>
      </c>
      <c r="L129" s="4">
        <f t="shared" si="20"/>
        <v>10</v>
      </c>
      <c r="M129" s="4">
        <f t="shared" si="21"/>
        <v>8000</v>
      </c>
      <c r="N129" s="6">
        <f t="shared" si="24"/>
        <v>10</v>
      </c>
      <c r="O129" s="6">
        <f t="shared" si="25"/>
        <v>2025</v>
      </c>
      <c r="P129" s="6" t="str">
        <f t="shared" si="26"/>
        <v>Q4</v>
      </c>
      <c r="Q129" s="6" t="str">
        <f t="shared" si="22"/>
        <v>Profit</v>
      </c>
      <c r="R129" s="6" t="str">
        <f t="shared" si="27"/>
        <v>Top Seller</v>
      </c>
      <c r="S129" t="str">
        <f t="shared" si="23"/>
        <v>Cancelled</v>
      </c>
    </row>
    <row r="130" spans="1:19" x14ac:dyDescent="0.3">
      <c r="A130" s="4" t="s">
        <v>353</v>
      </c>
      <c r="B130" s="5">
        <v>44785</v>
      </c>
      <c r="C130" s="4" t="s">
        <v>11</v>
      </c>
      <c r="D130" s="4" t="s">
        <v>126</v>
      </c>
      <c r="E130" s="4" t="s">
        <v>205</v>
      </c>
      <c r="F130" s="6" t="s">
        <v>206</v>
      </c>
      <c r="G130" s="4">
        <v>4</v>
      </c>
      <c r="H130" s="4">
        <v>20000</v>
      </c>
      <c r="I130" s="4">
        <v>30000</v>
      </c>
      <c r="J130" s="4">
        <f t="shared" si="18"/>
        <v>80000</v>
      </c>
      <c r="K130" s="4">
        <f t="shared" si="19"/>
        <v>120000</v>
      </c>
      <c r="L130" s="4">
        <f t="shared" si="20"/>
        <v>8</v>
      </c>
      <c r="M130" s="4">
        <f t="shared" si="21"/>
        <v>40000</v>
      </c>
      <c r="N130" s="6">
        <f t="shared" ref="N130:N161" si="28">MONTH(B:B)</f>
        <v>8</v>
      </c>
      <c r="O130" s="6">
        <f t="shared" ref="O130:O161" si="29">YEAR(B:B)</f>
        <v>2022</v>
      </c>
      <c r="P130" s="6" t="str">
        <f t="shared" ref="P130:P161" si="30">"Q"&amp;ROUNDUP(MONTH(B:B)/3,0)</f>
        <v>Q3</v>
      </c>
      <c r="Q130" s="6" t="str">
        <f t="shared" si="22"/>
        <v>Profit</v>
      </c>
      <c r="R130" s="6" t="str">
        <f t="shared" si="27"/>
        <v>Normal</v>
      </c>
      <c r="S130" t="str">
        <f t="shared" si="23"/>
        <v>Pending</v>
      </c>
    </row>
    <row r="131" spans="1:19" x14ac:dyDescent="0.3">
      <c r="A131" s="4" t="s">
        <v>354</v>
      </c>
      <c r="B131" s="5">
        <v>44872</v>
      </c>
      <c r="C131" s="4" t="s">
        <v>10</v>
      </c>
      <c r="D131" s="4" t="s">
        <v>127</v>
      </c>
      <c r="E131" s="4" t="s">
        <v>186</v>
      </c>
      <c r="F131" s="6" t="s">
        <v>208</v>
      </c>
      <c r="G131" s="4">
        <v>2</v>
      </c>
      <c r="H131" s="4">
        <v>12000</v>
      </c>
      <c r="I131" s="4">
        <v>18000</v>
      </c>
      <c r="J131" s="4">
        <f t="shared" ref="J131:J194" si="31">H131*G131</f>
        <v>24000</v>
      </c>
      <c r="K131" s="4">
        <f t="shared" ref="K131:K194" si="32">G131*I131</f>
        <v>36000</v>
      </c>
      <c r="L131" s="4">
        <f t="shared" ref="L131:L194" si="33">MONTH(B:B)</f>
        <v>11</v>
      </c>
      <c r="M131" s="4">
        <f t="shared" ref="M131:M194" si="34">K131-J131</f>
        <v>12000</v>
      </c>
      <c r="N131" s="6">
        <f t="shared" si="28"/>
        <v>11</v>
      </c>
      <c r="O131" s="6">
        <f t="shared" si="29"/>
        <v>2022</v>
      </c>
      <c r="P131" s="6" t="str">
        <f t="shared" si="30"/>
        <v>Q4</v>
      </c>
      <c r="Q131" s="6" t="str">
        <f t="shared" ref="Q131:Q194" si="35">IF(M131&gt;0,"Profit",IF(M131=0,"Break Even"))</f>
        <v>Profit</v>
      </c>
      <c r="R131" s="6" t="str">
        <f t="shared" si="27"/>
        <v>Normal</v>
      </c>
      <c r="S131" t="str">
        <f t="shared" si="23"/>
        <v>Cancelled</v>
      </c>
    </row>
    <row r="132" spans="1:19" x14ac:dyDescent="0.3">
      <c r="A132" s="4" t="s">
        <v>355</v>
      </c>
      <c r="B132" s="5">
        <v>45197</v>
      </c>
      <c r="C132" s="4" t="s">
        <v>9</v>
      </c>
      <c r="D132" s="4" t="s">
        <v>128</v>
      </c>
      <c r="E132" s="4" t="s">
        <v>195</v>
      </c>
      <c r="F132" s="6" t="s">
        <v>206</v>
      </c>
      <c r="G132" s="4">
        <v>10</v>
      </c>
      <c r="H132" s="4">
        <v>1500</v>
      </c>
      <c r="I132" s="4">
        <v>3000</v>
      </c>
      <c r="J132" s="4">
        <f t="shared" si="31"/>
        <v>15000</v>
      </c>
      <c r="K132" s="4">
        <f t="shared" si="32"/>
        <v>30000</v>
      </c>
      <c r="L132" s="4">
        <f t="shared" si="33"/>
        <v>9</v>
      </c>
      <c r="M132" s="4">
        <f t="shared" si="34"/>
        <v>15000</v>
      </c>
      <c r="N132" s="6">
        <f t="shared" si="28"/>
        <v>9</v>
      </c>
      <c r="O132" s="6">
        <f t="shared" si="29"/>
        <v>2023</v>
      </c>
      <c r="P132" s="6" t="str">
        <f t="shared" si="30"/>
        <v>Q3</v>
      </c>
      <c r="Q132" s="6" t="str">
        <f t="shared" si="35"/>
        <v>Profit</v>
      </c>
      <c r="R132" s="6" t="str">
        <f t="shared" si="27"/>
        <v>Normal</v>
      </c>
      <c r="S132" t="str">
        <f t="shared" ref="S132:S195" si="36">IF(G132&lt;=2,"Cancelled",IF(G132=10,"Completed","Pending"))</f>
        <v>Completed</v>
      </c>
    </row>
    <row r="133" spans="1:19" x14ac:dyDescent="0.3">
      <c r="A133" s="4" t="s">
        <v>356</v>
      </c>
      <c r="B133" s="5">
        <v>43859</v>
      </c>
      <c r="C133" s="4" t="s">
        <v>9</v>
      </c>
      <c r="D133" s="4" t="s">
        <v>129</v>
      </c>
      <c r="E133" s="4" t="s">
        <v>186</v>
      </c>
      <c r="F133" s="6" t="s">
        <v>214</v>
      </c>
      <c r="G133" s="4">
        <v>2</v>
      </c>
      <c r="H133" s="4">
        <v>6000</v>
      </c>
      <c r="I133" s="4">
        <v>10000</v>
      </c>
      <c r="J133" s="4">
        <f t="shared" si="31"/>
        <v>12000</v>
      </c>
      <c r="K133" s="4">
        <f t="shared" si="32"/>
        <v>20000</v>
      </c>
      <c r="L133" s="4">
        <f t="shared" si="33"/>
        <v>1</v>
      </c>
      <c r="M133" s="4">
        <f t="shared" si="34"/>
        <v>8000</v>
      </c>
      <c r="N133" s="6">
        <f t="shared" si="28"/>
        <v>1</v>
      </c>
      <c r="O133" s="6">
        <f t="shared" si="29"/>
        <v>2020</v>
      </c>
      <c r="P133" s="6" t="str">
        <f t="shared" si="30"/>
        <v>Q1</v>
      </c>
      <c r="Q133" s="6" t="str">
        <f t="shared" si="35"/>
        <v>Profit</v>
      </c>
      <c r="R133" s="6" t="str">
        <f t="shared" si="27"/>
        <v>Top Seller</v>
      </c>
      <c r="S133" t="str">
        <f t="shared" si="36"/>
        <v>Cancelled</v>
      </c>
    </row>
    <row r="134" spans="1:19" x14ac:dyDescent="0.3">
      <c r="A134" s="4" t="s">
        <v>357</v>
      </c>
      <c r="B134" s="5">
        <v>45446</v>
      </c>
      <c r="C134" s="4" t="s">
        <v>12</v>
      </c>
      <c r="D134" s="4" t="s">
        <v>130</v>
      </c>
      <c r="E134" s="4" t="s">
        <v>198</v>
      </c>
      <c r="F134" s="6" t="s">
        <v>207</v>
      </c>
      <c r="G134" s="4">
        <v>9</v>
      </c>
      <c r="H134" s="4">
        <v>20000</v>
      </c>
      <c r="I134" s="4">
        <v>30000</v>
      </c>
      <c r="J134" s="4">
        <f t="shared" si="31"/>
        <v>180000</v>
      </c>
      <c r="K134" s="4">
        <f t="shared" si="32"/>
        <v>270000</v>
      </c>
      <c r="L134" s="4">
        <f t="shared" si="33"/>
        <v>6</v>
      </c>
      <c r="M134" s="4">
        <f t="shared" si="34"/>
        <v>90000</v>
      </c>
      <c r="N134" s="6">
        <f t="shared" si="28"/>
        <v>6</v>
      </c>
      <c r="O134" s="6">
        <f t="shared" si="29"/>
        <v>2024</v>
      </c>
      <c r="P134" s="6" t="str">
        <f t="shared" si="30"/>
        <v>Q2</v>
      </c>
      <c r="Q134" s="6" t="str">
        <f t="shared" si="35"/>
        <v>Profit</v>
      </c>
      <c r="R134" s="6" t="str">
        <f t="shared" si="27"/>
        <v>Normal</v>
      </c>
      <c r="S134" t="str">
        <f t="shared" si="36"/>
        <v>Pending</v>
      </c>
    </row>
    <row r="135" spans="1:19" x14ac:dyDescent="0.3">
      <c r="A135" s="4" t="s">
        <v>358</v>
      </c>
      <c r="B135" s="5">
        <v>44224</v>
      </c>
      <c r="C135" s="4" t="s">
        <v>12</v>
      </c>
      <c r="D135" s="4" t="s">
        <v>131</v>
      </c>
      <c r="E135" s="4" t="s">
        <v>192</v>
      </c>
      <c r="F135" s="6" t="s">
        <v>212</v>
      </c>
      <c r="G135" s="4">
        <v>1</v>
      </c>
      <c r="H135" s="4">
        <v>12000</v>
      </c>
      <c r="I135" s="4">
        <v>18000</v>
      </c>
      <c r="J135" s="4">
        <f t="shared" si="31"/>
        <v>12000</v>
      </c>
      <c r="K135" s="4">
        <f t="shared" si="32"/>
        <v>18000</v>
      </c>
      <c r="L135" s="4">
        <f t="shared" si="33"/>
        <v>1</v>
      </c>
      <c r="M135" s="4">
        <f t="shared" si="34"/>
        <v>6000</v>
      </c>
      <c r="N135" s="6">
        <f t="shared" si="28"/>
        <v>1</v>
      </c>
      <c r="O135" s="6">
        <f t="shared" si="29"/>
        <v>2021</v>
      </c>
      <c r="P135" s="6" t="str">
        <f t="shared" si="30"/>
        <v>Q1</v>
      </c>
      <c r="Q135" s="6" t="str">
        <f t="shared" si="35"/>
        <v>Profit</v>
      </c>
      <c r="R135" s="6" t="str">
        <f t="shared" si="27"/>
        <v>Normal</v>
      </c>
      <c r="S135" t="str">
        <f t="shared" si="36"/>
        <v>Cancelled</v>
      </c>
    </row>
    <row r="136" spans="1:19" x14ac:dyDescent="0.3">
      <c r="A136" s="4" t="s">
        <v>359</v>
      </c>
      <c r="B136" s="5">
        <v>45994</v>
      </c>
      <c r="C136" s="4" t="s">
        <v>12</v>
      </c>
      <c r="D136" s="4" t="s">
        <v>132</v>
      </c>
      <c r="E136" s="4" t="s">
        <v>188</v>
      </c>
      <c r="F136" s="6" t="s">
        <v>207</v>
      </c>
      <c r="G136" s="4">
        <v>7</v>
      </c>
      <c r="H136" s="4">
        <v>1500</v>
      </c>
      <c r="I136" s="4">
        <v>3000</v>
      </c>
      <c r="J136" s="4">
        <f t="shared" si="31"/>
        <v>10500</v>
      </c>
      <c r="K136" s="4">
        <f t="shared" si="32"/>
        <v>21000</v>
      </c>
      <c r="L136" s="4">
        <f t="shared" si="33"/>
        <v>12</v>
      </c>
      <c r="M136" s="4">
        <f t="shared" si="34"/>
        <v>10500</v>
      </c>
      <c r="N136" s="6">
        <f t="shared" si="28"/>
        <v>12</v>
      </c>
      <c r="O136" s="6">
        <f t="shared" si="29"/>
        <v>2025</v>
      </c>
      <c r="P136" s="6" t="str">
        <f t="shared" si="30"/>
        <v>Q4</v>
      </c>
      <c r="Q136" s="6" t="str">
        <f t="shared" si="35"/>
        <v>Profit</v>
      </c>
      <c r="R136" s="6" t="str">
        <f t="shared" si="27"/>
        <v>Normal</v>
      </c>
      <c r="S136" t="str">
        <f t="shared" si="36"/>
        <v>Pending</v>
      </c>
    </row>
    <row r="137" spans="1:19" x14ac:dyDescent="0.3">
      <c r="A137" s="4" t="s">
        <v>360</v>
      </c>
      <c r="B137" s="5">
        <v>45686</v>
      </c>
      <c r="C137" s="4" t="s">
        <v>9</v>
      </c>
      <c r="D137" s="4" t="s">
        <v>133</v>
      </c>
      <c r="E137" s="4" t="s">
        <v>189</v>
      </c>
      <c r="F137" s="6" t="s">
        <v>209</v>
      </c>
      <c r="G137" s="4">
        <v>10</v>
      </c>
      <c r="H137" s="4">
        <v>1500</v>
      </c>
      <c r="I137" s="4">
        <v>3000</v>
      </c>
      <c r="J137" s="4">
        <f t="shared" si="31"/>
        <v>15000</v>
      </c>
      <c r="K137" s="4">
        <f t="shared" si="32"/>
        <v>30000</v>
      </c>
      <c r="L137" s="4">
        <f t="shared" si="33"/>
        <v>1</v>
      </c>
      <c r="M137" s="4">
        <f t="shared" si="34"/>
        <v>15000</v>
      </c>
      <c r="N137" s="6">
        <f t="shared" si="28"/>
        <v>1</v>
      </c>
      <c r="O137" s="6">
        <f t="shared" si="29"/>
        <v>2025</v>
      </c>
      <c r="P137" s="6" t="str">
        <f t="shared" si="30"/>
        <v>Q1</v>
      </c>
      <c r="Q137" s="6" t="str">
        <f t="shared" si="35"/>
        <v>Profit</v>
      </c>
      <c r="R137" s="6" t="str">
        <f t="shared" si="27"/>
        <v>Normal</v>
      </c>
      <c r="S137" t="str">
        <f t="shared" si="36"/>
        <v>Completed</v>
      </c>
    </row>
    <row r="138" spans="1:19" x14ac:dyDescent="0.3">
      <c r="A138" s="4" t="s">
        <v>361</v>
      </c>
      <c r="B138" s="5">
        <v>45955</v>
      </c>
      <c r="C138" s="4" t="s">
        <v>11</v>
      </c>
      <c r="D138" s="4" t="s">
        <v>134</v>
      </c>
      <c r="E138" s="4" t="s">
        <v>191</v>
      </c>
      <c r="F138" s="6" t="s">
        <v>207</v>
      </c>
      <c r="G138" s="4">
        <v>4</v>
      </c>
      <c r="H138" s="4">
        <v>1500</v>
      </c>
      <c r="I138" s="4">
        <v>3000</v>
      </c>
      <c r="J138" s="4">
        <f t="shared" si="31"/>
        <v>6000</v>
      </c>
      <c r="K138" s="4">
        <f t="shared" si="32"/>
        <v>12000</v>
      </c>
      <c r="L138" s="4">
        <f t="shared" si="33"/>
        <v>10</v>
      </c>
      <c r="M138" s="4">
        <f t="shared" si="34"/>
        <v>6000</v>
      </c>
      <c r="N138" s="6">
        <f t="shared" si="28"/>
        <v>10</v>
      </c>
      <c r="O138" s="6">
        <f t="shared" si="29"/>
        <v>2025</v>
      </c>
      <c r="P138" s="6" t="str">
        <f t="shared" si="30"/>
        <v>Q4</v>
      </c>
      <c r="Q138" s="6" t="str">
        <f t="shared" si="35"/>
        <v>Profit</v>
      </c>
      <c r="R138" s="6" t="str">
        <f t="shared" si="27"/>
        <v>Top Seller</v>
      </c>
      <c r="S138" t="str">
        <f t="shared" si="36"/>
        <v>Pending</v>
      </c>
    </row>
    <row r="139" spans="1:19" x14ac:dyDescent="0.3">
      <c r="A139" s="4" t="s">
        <v>362</v>
      </c>
      <c r="B139" s="5">
        <v>45350</v>
      </c>
      <c r="C139" s="4" t="s">
        <v>9</v>
      </c>
      <c r="D139" s="4" t="s">
        <v>135</v>
      </c>
      <c r="E139" s="4" t="s">
        <v>189</v>
      </c>
      <c r="F139" s="6" t="s">
        <v>207</v>
      </c>
      <c r="G139" s="4">
        <v>3</v>
      </c>
      <c r="H139" s="4">
        <v>20000</v>
      </c>
      <c r="I139" s="4">
        <v>30000</v>
      </c>
      <c r="J139" s="4">
        <f t="shared" si="31"/>
        <v>60000</v>
      </c>
      <c r="K139" s="4">
        <f t="shared" si="32"/>
        <v>90000</v>
      </c>
      <c r="L139" s="4">
        <f t="shared" si="33"/>
        <v>2</v>
      </c>
      <c r="M139" s="4">
        <f t="shared" si="34"/>
        <v>30000</v>
      </c>
      <c r="N139" s="6">
        <f t="shared" si="28"/>
        <v>2</v>
      </c>
      <c r="O139" s="6">
        <f t="shared" si="29"/>
        <v>2024</v>
      </c>
      <c r="P139" s="6" t="str">
        <f t="shared" si="30"/>
        <v>Q1</v>
      </c>
      <c r="Q139" s="6" t="str">
        <f t="shared" si="35"/>
        <v>Profit</v>
      </c>
      <c r="R139" s="6" t="str">
        <f t="shared" si="27"/>
        <v>Normal</v>
      </c>
      <c r="S139" t="str">
        <f t="shared" si="36"/>
        <v>Pending</v>
      </c>
    </row>
    <row r="140" spans="1:19" x14ac:dyDescent="0.3">
      <c r="A140" s="4" t="s">
        <v>363</v>
      </c>
      <c r="B140" s="5">
        <v>43868</v>
      </c>
      <c r="C140" s="4" t="s">
        <v>9</v>
      </c>
      <c r="D140" s="4" t="s">
        <v>120</v>
      </c>
      <c r="E140" s="4" t="s">
        <v>189</v>
      </c>
      <c r="F140" s="6" t="s">
        <v>207</v>
      </c>
      <c r="G140" s="4">
        <v>2</v>
      </c>
      <c r="H140" s="4">
        <v>6000</v>
      </c>
      <c r="I140" s="4">
        <v>10000</v>
      </c>
      <c r="J140" s="4">
        <f t="shared" si="31"/>
        <v>12000</v>
      </c>
      <c r="K140" s="4">
        <f t="shared" si="32"/>
        <v>20000</v>
      </c>
      <c r="L140" s="4">
        <f t="shared" si="33"/>
        <v>2</v>
      </c>
      <c r="M140" s="4">
        <f t="shared" si="34"/>
        <v>8000</v>
      </c>
      <c r="N140" s="6">
        <f t="shared" si="28"/>
        <v>2</v>
      </c>
      <c r="O140" s="6">
        <f t="shared" si="29"/>
        <v>2020</v>
      </c>
      <c r="P140" s="6" t="str">
        <f t="shared" si="30"/>
        <v>Q1</v>
      </c>
      <c r="Q140" s="6" t="str">
        <f t="shared" si="35"/>
        <v>Profit</v>
      </c>
      <c r="R140" s="6" t="str">
        <f t="shared" si="27"/>
        <v>Top Seller</v>
      </c>
      <c r="S140" t="str">
        <f t="shared" si="36"/>
        <v>Cancelled</v>
      </c>
    </row>
    <row r="141" spans="1:19" x14ac:dyDescent="0.3">
      <c r="A141" s="4" t="s">
        <v>364</v>
      </c>
      <c r="B141" s="5">
        <v>45325</v>
      </c>
      <c r="C141" s="4" t="s">
        <v>9</v>
      </c>
      <c r="D141" s="4" t="s">
        <v>136</v>
      </c>
      <c r="E141" s="4" t="s">
        <v>193</v>
      </c>
      <c r="F141" s="6" t="s">
        <v>217</v>
      </c>
      <c r="G141" s="4">
        <v>7</v>
      </c>
      <c r="H141" s="4">
        <v>6000</v>
      </c>
      <c r="I141" s="4">
        <v>10000</v>
      </c>
      <c r="J141" s="4">
        <f t="shared" si="31"/>
        <v>42000</v>
      </c>
      <c r="K141" s="4">
        <f t="shared" si="32"/>
        <v>70000</v>
      </c>
      <c r="L141" s="4">
        <f t="shared" si="33"/>
        <v>2</v>
      </c>
      <c r="M141" s="4">
        <f t="shared" si="34"/>
        <v>28000</v>
      </c>
      <c r="N141" s="6">
        <f t="shared" si="28"/>
        <v>2</v>
      </c>
      <c r="O141" s="6">
        <f t="shared" si="29"/>
        <v>2024</v>
      </c>
      <c r="P141" s="6" t="str">
        <f t="shared" si="30"/>
        <v>Q1</v>
      </c>
      <c r="Q141" s="6" t="str">
        <f t="shared" si="35"/>
        <v>Profit</v>
      </c>
      <c r="R141" s="6" t="str">
        <f t="shared" si="27"/>
        <v>Top Seller</v>
      </c>
      <c r="S141" t="str">
        <f t="shared" si="36"/>
        <v>Pending</v>
      </c>
    </row>
    <row r="142" spans="1:19" x14ac:dyDescent="0.3">
      <c r="A142" s="4" t="s">
        <v>365</v>
      </c>
      <c r="B142" s="5">
        <v>45960</v>
      </c>
      <c r="C142" s="4" t="s">
        <v>9</v>
      </c>
      <c r="D142" s="4" t="s">
        <v>137</v>
      </c>
      <c r="E142" s="4" t="s">
        <v>190</v>
      </c>
      <c r="F142" s="6" t="s">
        <v>209</v>
      </c>
      <c r="G142" s="4">
        <v>3</v>
      </c>
      <c r="H142" s="4">
        <v>12000</v>
      </c>
      <c r="I142" s="4">
        <v>18000</v>
      </c>
      <c r="J142" s="4">
        <f t="shared" si="31"/>
        <v>36000</v>
      </c>
      <c r="K142" s="4">
        <f t="shared" si="32"/>
        <v>54000</v>
      </c>
      <c r="L142" s="4">
        <f t="shared" si="33"/>
        <v>10</v>
      </c>
      <c r="M142" s="4">
        <f t="shared" si="34"/>
        <v>18000</v>
      </c>
      <c r="N142" s="6">
        <f t="shared" si="28"/>
        <v>10</v>
      </c>
      <c r="O142" s="6">
        <f t="shared" si="29"/>
        <v>2025</v>
      </c>
      <c r="P142" s="6" t="str">
        <f t="shared" si="30"/>
        <v>Q4</v>
      </c>
      <c r="Q142" s="6" t="str">
        <f t="shared" si="35"/>
        <v>Profit</v>
      </c>
      <c r="R142" s="6" t="str">
        <f t="shared" si="27"/>
        <v>Top Seller</v>
      </c>
      <c r="S142" t="str">
        <f t="shared" si="36"/>
        <v>Pending</v>
      </c>
    </row>
    <row r="143" spans="1:19" x14ac:dyDescent="0.3">
      <c r="A143" s="4" t="s">
        <v>366</v>
      </c>
      <c r="B143" s="5">
        <v>44300</v>
      </c>
      <c r="C143" s="4" t="s">
        <v>10</v>
      </c>
      <c r="D143" s="4" t="s">
        <v>138</v>
      </c>
      <c r="E143" s="4" t="s">
        <v>201</v>
      </c>
      <c r="F143" s="6" t="s">
        <v>211</v>
      </c>
      <c r="G143" s="4">
        <v>4</v>
      </c>
      <c r="H143" s="4">
        <v>35000</v>
      </c>
      <c r="I143" s="4">
        <v>52000</v>
      </c>
      <c r="J143" s="4">
        <f t="shared" si="31"/>
        <v>140000</v>
      </c>
      <c r="K143" s="4">
        <f t="shared" si="32"/>
        <v>208000</v>
      </c>
      <c r="L143" s="4">
        <f t="shared" si="33"/>
        <v>4</v>
      </c>
      <c r="M143" s="4">
        <f t="shared" si="34"/>
        <v>68000</v>
      </c>
      <c r="N143" s="6">
        <f t="shared" si="28"/>
        <v>4</v>
      </c>
      <c r="O143" s="6">
        <f t="shared" si="29"/>
        <v>2021</v>
      </c>
      <c r="P143" s="6" t="str">
        <f t="shared" si="30"/>
        <v>Q2</v>
      </c>
      <c r="Q143" s="6" t="str">
        <f t="shared" si="35"/>
        <v>Profit</v>
      </c>
      <c r="R143" s="6" t="str">
        <f t="shared" si="27"/>
        <v>Normal</v>
      </c>
      <c r="S143" t="str">
        <f t="shared" si="36"/>
        <v>Pending</v>
      </c>
    </row>
    <row r="144" spans="1:19" x14ac:dyDescent="0.3">
      <c r="A144" s="4" t="s">
        <v>367</v>
      </c>
      <c r="B144" s="5">
        <v>45800</v>
      </c>
      <c r="C144" s="4" t="s">
        <v>12</v>
      </c>
      <c r="D144" s="4" t="s">
        <v>139</v>
      </c>
      <c r="E144" s="4" t="s">
        <v>196</v>
      </c>
      <c r="F144" s="6" t="s">
        <v>207</v>
      </c>
      <c r="G144" s="4">
        <v>2</v>
      </c>
      <c r="H144" s="4">
        <v>6000</v>
      </c>
      <c r="I144" s="4">
        <v>10000</v>
      </c>
      <c r="J144" s="4">
        <f t="shared" si="31"/>
        <v>12000</v>
      </c>
      <c r="K144" s="4">
        <f t="shared" si="32"/>
        <v>20000</v>
      </c>
      <c r="L144" s="4">
        <f t="shared" si="33"/>
        <v>5</v>
      </c>
      <c r="M144" s="4">
        <f t="shared" si="34"/>
        <v>8000</v>
      </c>
      <c r="N144" s="6">
        <f t="shared" si="28"/>
        <v>5</v>
      </c>
      <c r="O144" s="6">
        <f t="shared" si="29"/>
        <v>2025</v>
      </c>
      <c r="P144" s="6" t="str">
        <f t="shared" si="30"/>
        <v>Q2</v>
      </c>
      <c r="Q144" s="6" t="str">
        <f t="shared" si="35"/>
        <v>Profit</v>
      </c>
      <c r="R144" s="6" t="str">
        <f t="shared" si="27"/>
        <v>Normal</v>
      </c>
      <c r="S144" t="str">
        <f t="shared" si="36"/>
        <v>Cancelled</v>
      </c>
    </row>
    <row r="145" spans="1:19" x14ac:dyDescent="0.3">
      <c r="A145" s="4" t="s">
        <v>368</v>
      </c>
      <c r="B145" s="5">
        <v>44537</v>
      </c>
      <c r="C145" s="4" t="s">
        <v>11</v>
      </c>
      <c r="D145" s="4" t="s">
        <v>140</v>
      </c>
      <c r="E145" s="4" t="s">
        <v>189</v>
      </c>
      <c r="F145" s="6" t="s">
        <v>214</v>
      </c>
      <c r="G145" s="4">
        <v>2</v>
      </c>
      <c r="H145" s="4">
        <v>12000</v>
      </c>
      <c r="I145" s="4">
        <v>18000</v>
      </c>
      <c r="J145" s="4">
        <f t="shared" si="31"/>
        <v>24000</v>
      </c>
      <c r="K145" s="4">
        <f t="shared" si="32"/>
        <v>36000</v>
      </c>
      <c r="L145" s="4">
        <f t="shared" si="33"/>
        <v>12</v>
      </c>
      <c r="M145" s="4">
        <f t="shared" si="34"/>
        <v>12000</v>
      </c>
      <c r="N145" s="6">
        <f t="shared" si="28"/>
        <v>12</v>
      </c>
      <c r="O145" s="6">
        <f t="shared" si="29"/>
        <v>2021</v>
      </c>
      <c r="P145" s="6" t="str">
        <f t="shared" si="30"/>
        <v>Q4</v>
      </c>
      <c r="Q145" s="6" t="str">
        <f t="shared" si="35"/>
        <v>Profit</v>
      </c>
      <c r="R145" s="6" t="str">
        <f t="shared" si="27"/>
        <v>Normal</v>
      </c>
      <c r="S145" t="str">
        <f t="shared" si="36"/>
        <v>Cancelled</v>
      </c>
    </row>
    <row r="146" spans="1:19" x14ac:dyDescent="0.3">
      <c r="A146" s="4" t="s">
        <v>369</v>
      </c>
      <c r="B146" s="5">
        <v>44223</v>
      </c>
      <c r="C146" s="4" t="s">
        <v>12</v>
      </c>
      <c r="D146" s="4" t="s">
        <v>141</v>
      </c>
      <c r="E146" s="4" t="s">
        <v>197</v>
      </c>
      <c r="F146" s="6" t="s">
        <v>211</v>
      </c>
      <c r="G146" s="4">
        <v>3</v>
      </c>
      <c r="H146" s="4">
        <v>6000</v>
      </c>
      <c r="I146" s="4">
        <v>10000</v>
      </c>
      <c r="J146" s="4">
        <f t="shared" si="31"/>
        <v>18000</v>
      </c>
      <c r="K146" s="4">
        <f t="shared" si="32"/>
        <v>30000</v>
      </c>
      <c r="L146" s="4">
        <f t="shared" si="33"/>
        <v>1</v>
      </c>
      <c r="M146" s="4">
        <f t="shared" si="34"/>
        <v>12000</v>
      </c>
      <c r="N146" s="6">
        <f t="shared" si="28"/>
        <v>1</v>
      </c>
      <c r="O146" s="6">
        <f t="shared" si="29"/>
        <v>2021</v>
      </c>
      <c r="P146" s="6" t="str">
        <f t="shared" si="30"/>
        <v>Q1</v>
      </c>
      <c r="Q146" s="6" t="str">
        <f t="shared" si="35"/>
        <v>Profit</v>
      </c>
      <c r="R146" s="6" t="str">
        <f t="shared" si="27"/>
        <v>Top Seller</v>
      </c>
      <c r="S146" t="str">
        <f t="shared" si="36"/>
        <v>Pending</v>
      </c>
    </row>
    <row r="147" spans="1:19" x14ac:dyDescent="0.3">
      <c r="A147" s="4" t="s">
        <v>370</v>
      </c>
      <c r="B147" s="5">
        <v>45028</v>
      </c>
      <c r="C147" s="4" t="s">
        <v>10</v>
      </c>
      <c r="D147" s="4" t="s">
        <v>142</v>
      </c>
      <c r="E147" s="4" t="s">
        <v>196</v>
      </c>
      <c r="F147" s="6" t="s">
        <v>209</v>
      </c>
      <c r="G147" s="4">
        <v>3</v>
      </c>
      <c r="H147" s="4">
        <v>20000</v>
      </c>
      <c r="I147" s="4">
        <v>30000</v>
      </c>
      <c r="J147" s="4">
        <f t="shared" si="31"/>
        <v>60000</v>
      </c>
      <c r="K147" s="4">
        <f t="shared" si="32"/>
        <v>90000</v>
      </c>
      <c r="L147" s="4">
        <f t="shared" si="33"/>
        <v>4</v>
      </c>
      <c r="M147" s="4">
        <f t="shared" si="34"/>
        <v>30000</v>
      </c>
      <c r="N147" s="6">
        <f t="shared" si="28"/>
        <v>4</v>
      </c>
      <c r="O147" s="6">
        <f t="shared" si="29"/>
        <v>2023</v>
      </c>
      <c r="P147" s="6" t="str">
        <f t="shared" si="30"/>
        <v>Q2</v>
      </c>
      <c r="Q147" s="6" t="str">
        <f t="shared" si="35"/>
        <v>Profit</v>
      </c>
      <c r="R147" s="6" t="str">
        <f t="shared" si="27"/>
        <v>Normal</v>
      </c>
      <c r="S147" t="str">
        <f t="shared" si="36"/>
        <v>Pending</v>
      </c>
    </row>
    <row r="148" spans="1:19" x14ac:dyDescent="0.3">
      <c r="A148" s="4" t="s">
        <v>371</v>
      </c>
      <c r="B148" s="5">
        <v>44912</v>
      </c>
      <c r="C148" s="4" t="s">
        <v>12</v>
      </c>
      <c r="D148" s="4" t="s">
        <v>143</v>
      </c>
      <c r="E148" s="4" t="s">
        <v>201</v>
      </c>
      <c r="F148" s="6" t="s">
        <v>215</v>
      </c>
      <c r="G148" s="4">
        <v>2</v>
      </c>
      <c r="H148" s="4">
        <v>12000</v>
      </c>
      <c r="I148" s="4">
        <v>18000</v>
      </c>
      <c r="J148" s="4">
        <f t="shared" si="31"/>
        <v>24000</v>
      </c>
      <c r="K148" s="4">
        <f t="shared" si="32"/>
        <v>36000</v>
      </c>
      <c r="L148" s="4">
        <f t="shared" si="33"/>
        <v>12</v>
      </c>
      <c r="M148" s="4">
        <f t="shared" si="34"/>
        <v>12000</v>
      </c>
      <c r="N148" s="6">
        <f t="shared" si="28"/>
        <v>12</v>
      </c>
      <c r="O148" s="6">
        <f t="shared" si="29"/>
        <v>2022</v>
      </c>
      <c r="P148" s="6" t="str">
        <f t="shared" si="30"/>
        <v>Q4</v>
      </c>
      <c r="Q148" s="6" t="str">
        <f t="shared" si="35"/>
        <v>Profit</v>
      </c>
      <c r="R148" s="6" t="str">
        <f t="shared" si="27"/>
        <v>Normal</v>
      </c>
      <c r="S148" t="str">
        <f t="shared" si="36"/>
        <v>Cancelled</v>
      </c>
    </row>
    <row r="149" spans="1:19" x14ac:dyDescent="0.3">
      <c r="A149" s="4" t="s">
        <v>372</v>
      </c>
      <c r="B149" s="5">
        <v>43884</v>
      </c>
      <c r="C149" s="4" t="s">
        <v>9</v>
      </c>
      <c r="D149" s="4" t="s">
        <v>144</v>
      </c>
      <c r="E149" s="4" t="s">
        <v>204</v>
      </c>
      <c r="F149" s="6" t="s">
        <v>216</v>
      </c>
      <c r="G149" s="4">
        <v>4</v>
      </c>
      <c r="H149" s="4">
        <v>1500</v>
      </c>
      <c r="I149" s="4">
        <v>3000</v>
      </c>
      <c r="J149" s="4">
        <f t="shared" si="31"/>
        <v>6000</v>
      </c>
      <c r="K149" s="4">
        <f t="shared" si="32"/>
        <v>12000</v>
      </c>
      <c r="L149" s="4">
        <f t="shared" si="33"/>
        <v>2</v>
      </c>
      <c r="M149" s="4">
        <f t="shared" si="34"/>
        <v>6000</v>
      </c>
      <c r="N149" s="6">
        <f t="shared" si="28"/>
        <v>2</v>
      </c>
      <c r="O149" s="6">
        <f t="shared" si="29"/>
        <v>2020</v>
      </c>
      <c r="P149" s="6" t="str">
        <f t="shared" si="30"/>
        <v>Q1</v>
      </c>
      <c r="Q149" s="6" t="str">
        <f t="shared" si="35"/>
        <v>Profit</v>
      </c>
      <c r="R149" s="6" t="str">
        <f t="shared" si="27"/>
        <v>Top Seller</v>
      </c>
      <c r="S149" t="str">
        <f t="shared" si="36"/>
        <v>Pending</v>
      </c>
    </row>
    <row r="150" spans="1:19" x14ac:dyDescent="0.3">
      <c r="A150" s="4" t="s">
        <v>373</v>
      </c>
      <c r="B150" s="5">
        <v>44064</v>
      </c>
      <c r="C150" s="4" t="s">
        <v>10</v>
      </c>
      <c r="D150" s="4" t="s">
        <v>145</v>
      </c>
      <c r="E150" s="4" t="s">
        <v>205</v>
      </c>
      <c r="F150" s="6" t="s">
        <v>209</v>
      </c>
      <c r="G150" s="4">
        <v>5</v>
      </c>
      <c r="H150" s="4">
        <v>20000</v>
      </c>
      <c r="I150" s="4">
        <v>30000</v>
      </c>
      <c r="J150" s="4">
        <f t="shared" si="31"/>
        <v>100000</v>
      </c>
      <c r="K150" s="4">
        <f t="shared" si="32"/>
        <v>150000</v>
      </c>
      <c r="L150" s="4">
        <f t="shared" si="33"/>
        <v>8</v>
      </c>
      <c r="M150" s="4">
        <f t="shared" si="34"/>
        <v>50000</v>
      </c>
      <c r="N150" s="6">
        <f t="shared" si="28"/>
        <v>8</v>
      </c>
      <c r="O150" s="6">
        <f t="shared" si="29"/>
        <v>2020</v>
      </c>
      <c r="P150" s="6" t="str">
        <f t="shared" si="30"/>
        <v>Q3</v>
      </c>
      <c r="Q150" s="6" t="str">
        <f t="shared" si="35"/>
        <v>Profit</v>
      </c>
      <c r="R150" s="6" t="str">
        <f t="shared" si="27"/>
        <v>Top Seller</v>
      </c>
      <c r="S150" t="str">
        <f t="shared" si="36"/>
        <v>Pending</v>
      </c>
    </row>
    <row r="151" spans="1:19" x14ac:dyDescent="0.3">
      <c r="A151" s="4" t="s">
        <v>374</v>
      </c>
      <c r="B151" s="5">
        <v>44207</v>
      </c>
      <c r="C151" s="4" t="s">
        <v>12</v>
      </c>
      <c r="D151" s="4" t="s">
        <v>146</v>
      </c>
      <c r="E151" s="4" t="s">
        <v>191</v>
      </c>
      <c r="F151" s="6" t="s">
        <v>207</v>
      </c>
      <c r="G151" s="4">
        <v>4</v>
      </c>
      <c r="H151" s="4">
        <v>35000</v>
      </c>
      <c r="I151" s="4">
        <v>52000</v>
      </c>
      <c r="J151" s="4">
        <f t="shared" si="31"/>
        <v>140000</v>
      </c>
      <c r="K151" s="4">
        <f t="shared" si="32"/>
        <v>208000</v>
      </c>
      <c r="L151" s="4">
        <f t="shared" si="33"/>
        <v>1</v>
      </c>
      <c r="M151" s="4">
        <f t="shared" si="34"/>
        <v>68000</v>
      </c>
      <c r="N151" s="6">
        <f t="shared" si="28"/>
        <v>1</v>
      </c>
      <c r="O151" s="6">
        <f t="shared" si="29"/>
        <v>2021</v>
      </c>
      <c r="P151" s="6" t="str">
        <f t="shared" si="30"/>
        <v>Q1</v>
      </c>
      <c r="Q151" s="6" t="str">
        <f t="shared" si="35"/>
        <v>Profit</v>
      </c>
      <c r="R151" s="6" t="str">
        <f t="shared" si="27"/>
        <v>Top Seller</v>
      </c>
      <c r="S151" t="str">
        <f t="shared" si="36"/>
        <v>Pending</v>
      </c>
    </row>
    <row r="152" spans="1:19" x14ac:dyDescent="0.3">
      <c r="A152" s="4" t="s">
        <v>375</v>
      </c>
      <c r="B152" s="5">
        <v>44424</v>
      </c>
      <c r="C152" s="4" t="s">
        <v>10</v>
      </c>
      <c r="D152" s="4" t="s">
        <v>147</v>
      </c>
      <c r="E152" s="4" t="s">
        <v>193</v>
      </c>
      <c r="F152" s="6" t="s">
        <v>207</v>
      </c>
      <c r="G152" s="4">
        <v>5</v>
      </c>
      <c r="H152" s="4">
        <v>35000</v>
      </c>
      <c r="I152" s="4">
        <v>52000</v>
      </c>
      <c r="J152" s="4">
        <f t="shared" si="31"/>
        <v>175000</v>
      </c>
      <c r="K152" s="4">
        <f t="shared" si="32"/>
        <v>260000</v>
      </c>
      <c r="L152" s="4">
        <f t="shared" si="33"/>
        <v>8</v>
      </c>
      <c r="M152" s="4">
        <f t="shared" si="34"/>
        <v>85000</v>
      </c>
      <c r="N152" s="6">
        <f t="shared" si="28"/>
        <v>8</v>
      </c>
      <c r="O152" s="6">
        <f t="shared" si="29"/>
        <v>2021</v>
      </c>
      <c r="P152" s="6" t="str">
        <f t="shared" si="30"/>
        <v>Q3</v>
      </c>
      <c r="Q152" s="6" t="str">
        <f t="shared" si="35"/>
        <v>Profit</v>
      </c>
      <c r="R152" s="6" t="str">
        <f t="shared" si="27"/>
        <v>Top Seller</v>
      </c>
      <c r="S152" t="str">
        <f t="shared" si="36"/>
        <v>Pending</v>
      </c>
    </row>
    <row r="153" spans="1:19" x14ac:dyDescent="0.3">
      <c r="A153" s="4" t="s">
        <v>376</v>
      </c>
      <c r="B153" s="5">
        <v>45487</v>
      </c>
      <c r="C153" s="4" t="s">
        <v>11</v>
      </c>
      <c r="D153" s="4" t="s">
        <v>21</v>
      </c>
      <c r="E153" s="4" t="s">
        <v>193</v>
      </c>
      <c r="F153" s="6" t="s">
        <v>217</v>
      </c>
      <c r="G153" s="4">
        <v>10</v>
      </c>
      <c r="H153" s="4">
        <v>6000</v>
      </c>
      <c r="I153" s="4">
        <v>10000</v>
      </c>
      <c r="J153" s="4">
        <f t="shared" si="31"/>
        <v>60000</v>
      </c>
      <c r="K153" s="4">
        <f t="shared" si="32"/>
        <v>100000</v>
      </c>
      <c r="L153" s="4">
        <f t="shared" si="33"/>
        <v>7</v>
      </c>
      <c r="M153" s="4">
        <f t="shared" si="34"/>
        <v>40000</v>
      </c>
      <c r="N153" s="6">
        <f t="shared" si="28"/>
        <v>7</v>
      </c>
      <c r="O153" s="6">
        <f t="shared" si="29"/>
        <v>2024</v>
      </c>
      <c r="P153" s="6" t="str">
        <f t="shared" si="30"/>
        <v>Q3</v>
      </c>
      <c r="Q153" s="6" t="str">
        <f t="shared" si="35"/>
        <v>Profit</v>
      </c>
      <c r="R153" s="6" t="str">
        <f t="shared" si="27"/>
        <v>Top Seller</v>
      </c>
      <c r="S153" t="str">
        <f t="shared" si="36"/>
        <v>Completed</v>
      </c>
    </row>
    <row r="154" spans="1:19" x14ac:dyDescent="0.3">
      <c r="A154" s="4" t="s">
        <v>377</v>
      </c>
      <c r="B154" s="5">
        <v>45170</v>
      </c>
      <c r="C154" s="4" t="s">
        <v>12</v>
      </c>
      <c r="D154" s="4" t="s">
        <v>148</v>
      </c>
      <c r="E154" s="4" t="s">
        <v>190</v>
      </c>
      <c r="F154" s="6" t="s">
        <v>206</v>
      </c>
      <c r="G154" s="4">
        <v>2</v>
      </c>
      <c r="H154" s="4">
        <v>35000</v>
      </c>
      <c r="I154" s="4">
        <v>52000</v>
      </c>
      <c r="J154" s="4">
        <f t="shared" si="31"/>
        <v>70000</v>
      </c>
      <c r="K154" s="4">
        <f t="shared" si="32"/>
        <v>104000</v>
      </c>
      <c r="L154" s="4">
        <f t="shared" si="33"/>
        <v>9</v>
      </c>
      <c r="M154" s="4">
        <f t="shared" si="34"/>
        <v>34000</v>
      </c>
      <c r="N154" s="6">
        <f t="shared" si="28"/>
        <v>9</v>
      </c>
      <c r="O154" s="6">
        <f t="shared" si="29"/>
        <v>2023</v>
      </c>
      <c r="P154" s="6" t="str">
        <f t="shared" si="30"/>
        <v>Q3</v>
      </c>
      <c r="Q154" s="6" t="str">
        <f t="shared" si="35"/>
        <v>Profit</v>
      </c>
      <c r="R154" s="6" t="str">
        <f t="shared" si="27"/>
        <v>Top Seller</v>
      </c>
      <c r="S154" t="str">
        <f t="shared" si="36"/>
        <v>Cancelled</v>
      </c>
    </row>
    <row r="155" spans="1:19" x14ac:dyDescent="0.3">
      <c r="A155" s="4" t="s">
        <v>378</v>
      </c>
      <c r="B155" s="5">
        <v>45927</v>
      </c>
      <c r="C155" s="4" t="s">
        <v>9</v>
      </c>
      <c r="D155" s="4" t="s">
        <v>44</v>
      </c>
      <c r="E155" s="4" t="s">
        <v>186</v>
      </c>
      <c r="F155" s="6" t="s">
        <v>206</v>
      </c>
      <c r="G155" s="4">
        <v>6</v>
      </c>
      <c r="H155" s="4">
        <v>20000</v>
      </c>
      <c r="I155" s="4">
        <v>30000</v>
      </c>
      <c r="J155" s="4">
        <f t="shared" si="31"/>
        <v>120000</v>
      </c>
      <c r="K155" s="4">
        <f t="shared" si="32"/>
        <v>180000</v>
      </c>
      <c r="L155" s="4">
        <f t="shared" si="33"/>
        <v>9</v>
      </c>
      <c r="M155" s="4">
        <f t="shared" si="34"/>
        <v>60000</v>
      </c>
      <c r="N155" s="6">
        <f t="shared" si="28"/>
        <v>9</v>
      </c>
      <c r="O155" s="6">
        <f t="shared" si="29"/>
        <v>2025</v>
      </c>
      <c r="P155" s="6" t="str">
        <f t="shared" si="30"/>
        <v>Q3</v>
      </c>
      <c r="Q155" s="6" t="str">
        <f t="shared" si="35"/>
        <v>Profit</v>
      </c>
      <c r="R155" s="6" t="str">
        <f t="shared" si="27"/>
        <v>Top Seller</v>
      </c>
      <c r="S155" t="str">
        <f t="shared" si="36"/>
        <v>Pending</v>
      </c>
    </row>
    <row r="156" spans="1:19" x14ac:dyDescent="0.3">
      <c r="A156" s="4" t="s">
        <v>379</v>
      </c>
      <c r="B156" s="5">
        <v>44786</v>
      </c>
      <c r="C156" s="4" t="s">
        <v>10</v>
      </c>
      <c r="D156" s="4" t="s">
        <v>149</v>
      </c>
      <c r="E156" s="4" t="s">
        <v>186</v>
      </c>
      <c r="F156" s="6" t="s">
        <v>209</v>
      </c>
      <c r="G156" s="4">
        <v>10</v>
      </c>
      <c r="H156" s="4">
        <v>6000</v>
      </c>
      <c r="I156" s="4">
        <v>10000</v>
      </c>
      <c r="J156" s="4">
        <f t="shared" si="31"/>
        <v>60000</v>
      </c>
      <c r="K156" s="4">
        <f t="shared" si="32"/>
        <v>100000</v>
      </c>
      <c r="L156" s="4">
        <f t="shared" si="33"/>
        <v>8</v>
      </c>
      <c r="M156" s="4">
        <f t="shared" si="34"/>
        <v>40000</v>
      </c>
      <c r="N156" s="6">
        <f t="shared" si="28"/>
        <v>8</v>
      </c>
      <c r="O156" s="6">
        <f t="shared" si="29"/>
        <v>2022</v>
      </c>
      <c r="P156" s="6" t="str">
        <f t="shared" si="30"/>
        <v>Q3</v>
      </c>
      <c r="Q156" s="6" t="str">
        <f t="shared" si="35"/>
        <v>Profit</v>
      </c>
      <c r="R156" s="6" t="str">
        <f t="shared" si="27"/>
        <v>Normal</v>
      </c>
      <c r="S156" t="str">
        <f t="shared" si="36"/>
        <v>Completed</v>
      </c>
    </row>
    <row r="157" spans="1:19" x14ac:dyDescent="0.3">
      <c r="A157" s="4" t="s">
        <v>380</v>
      </c>
      <c r="B157" s="5">
        <v>45563</v>
      </c>
      <c r="C157" s="4" t="s">
        <v>10</v>
      </c>
      <c r="D157" s="4" t="s">
        <v>150</v>
      </c>
      <c r="E157" s="4" t="s">
        <v>201</v>
      </c>
      <c r="F157" s="6" t="s">
        <v>215</v>
      </c>
      <c r="G157" s="4">
        <v>1</v>
      </c>
      <c r="H157" s="4">
        <v>6000</v>
      </c>
      <c r="I157" s="4">
        <v>10000</v>
      </c>
      <c r="J157" s="4">
        <f t="shared" si="31"/>
        <v>6000</v>
      </c>
      <c r="K157" s="4">
        <f t="shared" si="32"/>
        <v>10000</v>
      </c>
      <c r="L157" s="4">
        <f t="shared" si="33"/>
        <v>9</v>
      </c>
      <c r="M157" s="4">
        <f t="shared" si="34"/>
        <v>4000</v>
      </c>
      <c r="N157" s="6">
        <f t="shared" si="28"/>
        <v>9</v>
      </c>
      <c r="O157" s="6">
        <f t="shared" si="29"/>
        <v>2024</v>
      </c>
      <c r="P157" s="6" t="str">
        <f t="shared" si="30"/>
        <v>Q3</v>
      </c>
      <c r="Q157" s="6" t="str">
        <f t="shared" si="35"/>
        <v>Profit</v>
      </c>
      <c r="R157" s="6" t="str">
        <f t="shared" si="27"/>
        <v>Top Seller</v>
      </c>
      <c r="S157" t="str">
        <f t="shared" si="36"/>
        <v>Cancelled</v>
      </c>
    </row>
    <row r="158" spans="1:19" x14ac:dyDescent="0.3">
      <c r="A158" s="4" t="s">
        <v>381</v>
      </c>
      <c r="B158" s="5">
        <v>43965</v>
      </c>
      <c r="C158" s="4" t="s">
        <v>12</v>
      </c>
      <c r="D158" s="4" t="s">
        <v>81</v>
      </c>
      <c r="E158" s="4" t="s">
        <v>204</v>
      </c>
      <c r="F158" s="6" t="s">
        <v>217</v>
      </c>
      <c r="G158" s="4">
        <v>8</v>
      </c>
      <c r="H158" s="4">
        <v>35000</v>
      </c>
      <c r="I158" s="4">
        <v>52000</v>
      </c>
      <c r="J158" s="4">
        <f t="shared" si="31"/>
        <v>280000</v>
      </c>
      <c r="K158" s="4">
        <f t="shared" si="32"/>
        <v>416000</v>
      </c>
      <c r="L158" s="4">
        <f t="shared" si="33"/>
        <v>5</v>
      </c>
      <c r="M158" s="4">
        <f t="shared" si="34"/>
        <v>136000</v>
      </c>
      <c r="N158" s="6">
        <f t="shared" si="28"/>
        <v>5</v>
      </c>
      <c r="O158" s="6">
        <f t="shared" si="29"/>
        <v>2020</v>
      </c>
      <c r="P158" s="6" t="str">
        <f t="shared" si="30"/>
        <v>Q2</v>
      </c>
      <c r="Q158" s="6" t="str">
        <f t="shared" si="35"/>
        <v>Profit</v>
      </c>
      <c r="R158" s="6" t="str">
        <f t="shared" si="27"/>
        <v>Top Seller</v>
      </c>
      <c r="S158" t="str">
        <f t="shared" si="36"/>
        <v>Pending</v>
      </c>
    </row>
    <row r="159" spans="1:19" x14ac:dyDescent="0.3">
      <c r="A159" s="4" t="s">
        <v>382</v>
      </c>
      <c r="B159" s="5">
        <v>44720</v>
      </c>
      <c r="C159" s="4" t="s">
        <v>11</v>
      </c>
      <c r="D159" s="4" t="s">
        <v>151</v>
      </c>
      <c r="E159" s="4" t="s">
        <v>190</v>
      </c>
      <c r="F159" s="6" t="s">
        <v>215</v>
      </c>
      <c r="G159" s="4">
        <v>10</v>
      </c>
      <c r="H159" s="4">
        <v>35000</v>
      </c>
      <c r="I159" s="4">
        <v>52000</v>
      </c>
      <c r="J159" s="4">
        <f t="shared" si="31"/>
        <v>350000</v>
      </c>
      <c r="K159" s="4">
        <f t="shared" si="32"/>
        <v>520000</v>
      </c>
      <c r="L159" s="4">
        <f t="shared" si="33"/>
        <v>6</v>
      </c>
      <c r="M159" s="4">
        <f t="shared" si="34"/>
        <v>170000</v>
      </c>
      <c r="N159" s="6">
        <f t="shared" si="28"/>
        <v>6</v>
      </c>
      <c r="O159" s="6">
        <f t="shared" si="29"/>
        <v>2022</v>
      </c>
      <c r="P159" s="6" t="str">
        <f t="shared" si="30"/>
        <v>Q2</v>
      </c>
      <c r="Q159" s="6" t="str">
        <f t="shared" si="35"/>
        <v>Profit</v>
      </c>
      <c r="R159" s="6" t="str">
        <f t="shared" si="27"/>
        <v>Normal</v>
      </c>
      <c r="S159" t="str">
        <f t="shared" si="36"/>
        <v>Completed</v>
      </c>
    </row>
    <row r="160" spans="1:19" x14ac:dyDescent="0.3">
      <c r="A160" s="4" t="s">
        <v>383</v>
      </c>
      <c r="B160" s="5">
        <v>44407</v>
      </c>
      <c r="C160" s="4" t="s">
        <v>9</v>
      </c>
      <c r="D160" s="4" t="s">
        <v>152</v>
      </c>
      <c r="E160" s="4" t="s">
        <v>204</v>
      </c>
      <c r="F160" s="6" t="s">
        <v>207</v>
      </c>
      <c r="G160" s="4">
        <v>2</v>
      </c>
      <c r="H160" s="4">
        <v>6000</v>
      </c>
      <c r="I160" s="4">
        <v>10000</v>
      </c>
      <c r="J160" s="4">
        <f t="shared" si="31"/>
        <v>12000</v>
      </c>
      <c r="K160" s="4">
        <f t="shared" si="32"/>
        <v>20000</v>
      </c>
      <c r="L160" s="4">
        <f t="shared" si="33"/>
        <v>7</v>
      </c>
      <c r="M160" s="4">
        <f t="shared" si="34"/>
        <v>8000</v>
      </c>
      <c r="N160" s="6">
        <f t="shared" si="28"/>
        <v>7</v>
      </c>
      <c r="O160" s="6">
        <f t="shared" si="29"/>
        <v>2021</v>
      </c>
      <c r="P160" s="6" t="str">
        <f t="shared" si="30"/>
        <v>Q3</v>
      </c>
      <c r="Q160" s="6" t="str">
        <f t="shared" si="35"/>
        <v>Profit</v>
      </c>
      <c r="R160" s="6" t="str">
        <f t="shared" si="27"/>
        <v>Top Seller</v>
      </c>
      <c r="S160" t="str">
        <f t="shared" si="36"/>
        <v>Cancelled</v>
      </c>
    </row>
    <row r="161" spans="1:19" x14ac:dyDescent="0.3">
      <c r="A161" s="4" t="s">
        <v>384</v>
      </c>
      <c r="B161" s="5">
        <v>45818</v>
      </c>
      <c r="C161" s="4" t="s">
        <v>12</v>
      </c>
      <c r="D161" s="4" t="s">
        <v>153</v>
      </c>
      <c r="E161" s="4" t="s">
        <v>192</v>
      </c>
      <c r="F161" s="6" t="s">
        <v>212</v>
      </c>
      <c r="G161" s="4">
        <v>4</v>
      </c>
      <c r="H161" s="4">
        <v>20000</v>
      </c>
      <c r="I161" s="4">
        <v>30000</v>
      </c>
      <c r="J161" s="4">
        <f t="shared" si="31"/>
        <v>80000</v>
      </c>
      <c r="K161" s="4">
        <f t="shared" si="32"/>
        <v>120000</v>
      </c>
      <c r="L161" s="4">
        <f t="shared" si="33"/>
        <v>6</v>
      </c>
      <c r="M161" s="4">
        <f t="shared" si="34"/>
        <v>40000</v>
      </c>
      <c r="N161" s="6">
        <f t="shared" si="28"/>
        <v>6</v>
      </c>
      <c r="O161" s="6">
        <f t="shared" si="29"/>
        <v>2025</v>
      </c>
      <c r="P161" s="6" t="str">
        <f t="shared" si="30"/>
        <v>Q2</v>
      </c>
      <c r="Q161" s="6" t="str">
        <f t="shared" si="35"/>
        <v>Profit</v>
      </c>
      <c r="R161" s="6" t="str">
        <f t="shared" si="27"/>
        <v>Normal</v>
      </c>
      <c r="S161" t="str">
        <f t="shared" si="36"/>
        <v>Pending</v>
      </c>
    </row>
    <row r="162" spans="1:19" x14ac:dyDescent="0.3">
      <c r="A162" s="4" t="s">
        <v>385</v>
      </c>
      <c r="B162" s="5">
        <v>44919</v>
      </c>
      <c r="C162" s="4" t="s">
        <v>10</v>
      </c>
      <c r="D162" s="4" t="s">
        <v>154</v>
      </c>
      <c r="E162" s="4" t="s">
        <v>188</v>
      </c>
      <c r="F162" s="6" t="s">
        <v>217</v>
      </c>
      <c r="G162" s="4">
        <v>1</v>
      </c>
      <c r="H162" s="4">
        <v>1500</v>
      </c>
      <c r="I162" s="4">
        <v>3000</v>
      </c>
      <c r="J162" s="4">
        <f t="shared" si="31"/>
        <v>1500</v>
      </c>
      <c r="K162" s="4">
        <f t="shared" si="32"/>
        <v>3000</v>
      </c>
      <c r="L162" s="4">
        <f t="shared" si="33"/>
        <v>12</v>
      </c>
      <c r="M162" s="4">
        <f t="shared" si="34"/>
        <v>1500</v>
      </c>
      <c r="N162" s="6">
        <f t="shared" ref="N162:N193" si="37">MONTH(B:B)</f>
        <v>12</v>
      </c>
      <c r="O162" s="6">
        <f t="shared" ref="O162:O193" si="38">YEAR(B:B)</f>
        <v>2022</v>
      </c>
      <c r="P162" s="6" t="str">
        <f t="shared" ref="P162:P193" si="39">"Q"&amp;ROUNDUP(MONTH(B:B)/3,0)</f>
        <v>Q4</v>
      </c>
      <c r="Q162" s="6" t="str">
        <f t="shared" si="35"/>
        <v>Profit</v>
      </c>
      <c r="R162" s="6" t="str">
        <f t="shared" si="27"/>
        <v>Normal</v>
      </c>
      <c r="S162" t="str">
        <f t="shared" si="36"/>
        <v>Cancelled</v>
      </c>
    </row>
    <row r="163" spans="1:19" x14ac:dyDescent="0.3">
      <c r="A163" s="4" t="s">
        <v>386</v>
      </c>
      <c r="B163" s="5">
        <v>44451</v>
      </c>
      <c r="C163" s="4" t="s">
        <v>12</v>
      </c>
      <c r="D163" s="4" t="s">
        <v>155</v>
      </c>
      <c r="E163" s="4" t="s">
        <v>190</v>
      </c>
      <c r="F163" s="6" t="s">
        <v>206</v>
      </c>
      <c r="G163" s="4">
        <v>2</v>
      </c>
      <c r="H163" s="4">
        <v>12000</v>
      </c>
      <c r="I163" s="4">
        <v>18000</v>
      </c>
      <c r="J163" s="4">
        <f t="shared" si="31"/>
        <v>24000</v>
      </c>
      <c r="K163" s="4">
        <f t="shared" si="32"/>
        <v>36000</v>
      </c>
      <c r="L163" s="4">
        <f t="shared" si="33"/>
        <v>9</v>
      </c>
      <c r="M163" s="4">
        <f t="shared" si="34"/>
        <v>12000</v>
      </c>
      <c r="N163" s="6">
        <f t="shared" si="37"/>
        <v>9</v>
      </c>
      <c r="O163" s="6">
        <f t="shared" si="38"/>
        <v>2021</v>
      </c>
      <c r="P163" s="6" t="str">
        <f t="shared" si="39"/>
        <v>Q3</v>
      </c>
      <c r="Q163" s="6" t="str">
        <f t="shared" si="35"/>
        <v>Profit</v>
      </c>
      <c r="R163" s="6" t="str">
        <f t="shared" si="27"/>
        <v>Normal</v>
      </c>
      <c r="S163" t="str">
        <f t="shared" si="36"/>
        <v>Cancelled</v>
      </c>
    </row>
    <row r="164" spans="1:19" x14ac:dyDescent="0.3">
      <c r="A164" s="4" t="s">
        <v>387</v>
      </c>
      <c r="B164" s="5">
        <v>44377</v>
      </c>
      <c r="C164" s="4" t="s">
        <v>10</v>
      </c>
      <c r="D164" s="4" t="s">
        <v>156</v>
      </c>
      <c r="E164" s="4" t="s">
        <v>186</v>
      </c>
      <c r="F164" s="6" t="s">
        <v>212</v>
      </c>
      <c r="G164" s="4">
        <v>1</v>
      </c>
      <c r="H164" s="4">
        <v>20000</v>
      </c>
      <c r="I164" s="4">
        <v>30000</v>
      </c>
      <c r="J164" s="4">
        <f t="shared" si="31"/>
        <v>20000</v>
      </c>
      <c r="K164" s="4">
        <f t="shared" si="32"/>
        <v>30000</v>
      </c>
      <c r="L164" s="4">
        <f t="shared" si="33"/>
        <v>6</v>
      </c>
      <c r="M164" s="4">
        <f t="shared" si="34"/>
        <v>10000</v>
      </c>
      <c r="N164" s="6">
        <f t="shared" si="37"/>
        <v>6</v>
      </c>
      <c r="O164" s="6">
        <f t="shared" si="38"/>
        <v>2021</v>
      </c>
      <c r="P164" s="6" t="str">
        <f t="shared" si="39"/>
        <v>Q2</v>
      </c>
      <c r="Q164" s="6" t="str">
        <f t="shared" si="35"/>
        <v>Profit</v>
      </c>
      <c r="R164" s="6" t="str">
        <f t="shared" si="27"/>
        <v>Top Seller</v>
      </c>
      <c r="S164" t="str">
        <f t="shared" si="36"/>
        <v>Cancelled</v>
      </c>
    </row>
    <row r="165" spans="1:19" x14ac:dyDescent="0.3">
      <c r="A165" s="4" t="s">
        <v>388</v>
      </c>
      <c r="B165" s="5">
        <v>45721</v>
      </c>
      <c r="C165" s="4" t="s">
        <v>12</v>
      </c>
      <c r="D165" s="4" t="s">
        <v>157</v>
      </c>
      <c r="E165" s="4" t="s">
        <v>188</v>
      </c>
      <c r="F165" s="6" t="s">
        <v>216</v>
      </c>
      <c r="G165" s="4">
        <v>4</v>
      </c>
      <c r="H165" s="4">
        <v>35000</v>
      </c>
      <c r="I165" s="4">
        <v>52000</v>
      </c>
      <c r="J165" s="4">
        <f t="shared" si="31"/>
        <v>140000</v>
      </c>
      <c r="K165" s="4">
        <f t="shared" si="32"/>
        <v>208000</v>
      </c>
      <c r="L165" s="4">
        <f t="shared" si="33"/>
        <v>3</v>
      </c>
      <c r="M165" s="4">
        <f t="shared" si="34"/>
        <v>68000</v>
      </c>
      <c r="N165" s="6">
        <f t="shared" si="37"/>
        <v>3</v>
      </c>
      <c r="O165" s="6">
        <f t="shared" si="38"/>
        <v>2025</v>
      </c>
      <c r="P165" s="6" t="str">
        <f t="shared" si="39"/>
        <v>Q1</v>
      </c>
      <c r="Q165" s="6" t="str">
        <f t="shared" si="35"/>
        <v>Profit</v>
      </c>
      <c r="R165" s="6" t="str">
        <f t="shared" si="27"/>
        <v>Top Seller</v>
      </c>
      <c r="S165" t="str">
        <f t="shared" si="36"/>
        <v>Pending</v>
      </c>
    </row>
    <row r="166" spans="1:19" x14ac:dyDescent="0.3">
      <c r="A166" s="4" t="s">
        <v>389</v>
      </c>
      <c r="B166" s="5">
        <v>45072</v>
      </c>
      <c r="C166" s="4" t="s">
        <v>10</v>
      </c>
      <c r="D166" s="4" t="s">
        <v>158</v>
      </c>
      <c r="E166" s="4" t="s">
        <v>205</v>
      </c>
      <c r="F166" s="6" t="s">
        <v>212</v>
      </c>
      <c r="G166" s="4">
        <v>6</v>
      </c>
      <c r="H166" s="4">
        <v>6000</v>
      </c>
      <c r="I166" s="4">
        <v>10000</v>
      </c>
      <c r="J166" s="4">
        <f t="shared" si="31"/>
        <v>36000</v>
      </c>
      <c r="K166" s="4">
        <f t="shared" si="32"/>
        <v>60000</v>
      </c>
      <c r="L166" s="4">
        <f t="shared" si="33"/>
        <v>5</v>
      </c>
      <c r="M166" s="4">
        <f t="shared" si="34"/>
        <v>24000</v>
      </c>
      <c r="N166" s="6">
        <f t="shared" si="37"/>
        <v>5</v>
      </c>
      <c r="O166" s="6">
        <f t="shared" si="38"/>
        <v>2023</v>
      </c>
      <c r="P166" s="6" t="str">
        <f t="shared" si="39"/>
        <v>Q2</v>
      </c>
      <c r="Q166" s="6" t="str">
        <f t="shared" si="35"/>
        <v>Profit</v>
      </c>
      <c r="R166" s="6" t="str">
        <f t="shared" si="27"/>
        <v>Top Seller</v>
      </c>
      <c r="S166" t="str">
        <f t="shared" si="36"/>
        <v>Pending</v>
      </c>
    </row>
    <row r="167" spans="1:19" x14ac:dyDescent="0.3">
      <c r="A167" s="4" t="s">
        <v>390</v>
      </c>
      <c r="B167" s="5">
        <v>45925</v>
      </c>
      <c r="C167" s="4" t="s">
        <v>11</v>
      </c>
      <c r="D167" s="4" t="s">
        <v>159</v>
      </c>
      <c r="E167" s="4" t="s">
        <v>188</v>
      </c>
      <c r="F167" s="6" t="s">
        <v>208</v>
      </c>
      <c r="G167" s="4">
        <v>7</v>
      </c>
      <c r="H167" s="4">
        <v>35000</v>
      </c>
      <c r="I167" s="4">
        <v>52000</v>
      </c>
      <c r="J167" s="4">
        <f t="shared" si="31"/>
        <v>245000</v>
      </c>
      <c r="K167" s="4">
        <f t="shared" si="32"/>
        <v>364000</v>
      </c>
      <c r="L167" s="4">
        <f t="shared" si="33"/>
        <v>9</v>
      </c>
      <c r="M167" s="4">
        <f t="shared" si="34"/>
        <v>119000</v>
      </c>
      <c r="N167" s="6">
        <f t="shared" si="37"/>
        <v>9</v>
      </c>
      <c r="O167" s="6">
        <f t="shared" si="38"/>
        <v>2025</v>
      </c>
      <c r="P167" s="6" t="str">
        <f t="shared" si="39"/>
        <v>Q3</v>
      </c>
      <c r="Q167" s="6" t="str">
        <f t="shared" si="35"/>
        <v>Profit</v>
      </c>
      <c r="R167" s="6" t="str">
        <f t="shared" si="27"/>
        <v>Normal</v>
      </c>
      <c r="S167" t="str">
        <f t="shared" si="36"/>
        <v>Pending</v>
      </c>
    </row>
    <row r="168" spans="1:19" x14ac:dyDescent="0.3">
      <c r="A168" s="4" t="s">
        <v>391</v>
      </c>
      <c r="B168" s="5">
        <v>44681</v>
      </c>
      <c r="C168" s="4" t="s">
        <v>10</v>
      </c>
      <c r="D168" s="4" t="s">
        <v>160</v>
      </c>
      <c r="E168" s="4" t="s">
        <v>194</v>
      </c>
      <c r="F168" s="6" t="s">
        <v>217</v>
      </c>
      <c r="G168" s="4">
        <v>6</v>
      </c>
      <c r="H168" s="4">
        <v>1500</v>
      </c>
      <c r="I168" s="4">
        <v>3000</v>
      </c>
      <c r="J168" s="4">
        <f t="shared" si="31"/>
        <v>9000</v>
      </c>
      <c r="K168" s="4">
        <f t="shared" si="32"/>
        <v>18000</v>
      </c>
      <c r="L168" s="4">
        <f t="shared" si="33"/>
        <v>4</v>
      </c>
      <c r="M168" s="4">
        <f t="shared" si="34"/>
        <v>9000</v>
      </c>
      <c r="N168" s="6">
        <f t="shared" si="37"/>
        <v>4</v>
      </c>
      <c r="O168" s="6">
        <f t="shared" si="38"/>
        <v>2022</v>
      </c>
      <c r="P168" s="6" t="str">
        <f t="shared" si="39"/>
        <v>Q2</v>
      </c>
      <c r="Q168" s="6" t="str">
        <f t="shared" si="35"/>
        <v>Profit</v>
      </c>
      <c r="R168" s="6" t="str">
        <f t="shared" si="27"/>
        <v>Normal</v>
      </c>
      <c r="S168" t="str">
        <f t="shared" si="36"/>
        <v>Pending</v>
      </c>
    </row>
    <row r="169" spans="1:19" x14ac:dyDescent="0.3">
      <c r="A169" s="4" t="s">
        <v>392</v>
      </c>
      <c r="B169" s="5">
        <v>45936</v>
      </c>
      <c r="C169" s="4" t="s">
        <v>10</v>
      </c>
      <c r="D169" s="4" t="s">
        <v>161</v>
      </c>
      <c r="E169" s="4" t="s">
        <v>190</v>
      </c>
      <c r="F169" s="6" t="s">
        <v>214</v>
      </c>
      <c r="G169" s="4">
        <v>1</v>
      </c>
      <c r="H169" s="4">
        <v>12000</v>
      </c>
      <c r="I169" s="4">
        <v>18000</v>
      </c>
      <c r="J169" s="4">
        <f t="shared" si="31"/>
        <v>12000</v>
      </c>
      <c r="K169" s="4">
        <f t="shared" si="32"/>
        <v>18000</v>
      </c>
      <c r="L169" s="4">
        <f t="shared" si="33"/>
        <v>10</v>
      </c>
      <c r="M169" s="4">
        <f t="shared" si="34"/>
        <v>6000</v>
      </c>
      <c r="N169" s="6">
        <f t="shared" si="37"/>
        <v>10</v>
      </c>
      <c r="O169" s="6">
        <f t="shared" si="38"/>
        <v>2025</v>
      </c>
      <c r="P169" s="6" t="str">
        <f t="shared" si="39"/>
        <v>Q4</v>
      </c>
      <c r="Q169" s="6" t="str">
        <f t="shared" si="35"/>
        <v>Profit</v>
      </c>
      <c r="R169" s="6" t="str">
        <f t="shared" si="27"/>
        <v>Normal</v>
      </c>
      <c r="S169" t="str">
        <f t="shared" si="36"/>
        <v>Cancelled</v>
      </c>
    </row>
    <row r="170" spans="1:19" x14ac:dyDescent="0.3">
      <c r="A170" s="4" t="s">
        <v>393</v>
      </c>
      <c r="B170" s="5">
        <v>44147</v>
      </c>
      <c r="C170" s="4" t="s">
        <v>9</v>
      </c>
      <c r="D170" s="4" t="s">
        <v>162</v>
      </c>
      <c r="E170" s="4" t="s">
        <v>197</v>
      </c>
      <c r="F170" s="6" t="s">
        <v>209</v>
      </c>
      <c r="G170" s="4">
        <v>2</v>
      </c>
      <c r="H170" s="4">
        <v>6000</v>
      </c>
      <c r="I170" s="4">
        <v>10000</v>
      </c>
      <c r="J170" s="4">
        <f t="shared" si="31"/>
        <v>12000</v>
      </c>
      <c r="K170" s="4">
        <f t="shared" si="32"/>
        <v>20000</v>
      </c>
      <c r="L170" s="4">
        <f t="shared" si="33"/>
        <v>11</v>
      </c>
      <c r="M170" s="4">
        <f t="shared" si="34"/>
        <v>8000</v>
      </c>
      <c r="N170" s="6">
        <f t="shared" si="37"/>
        <v>11</v>
      </c>
      <c r="O170" s="6">
        <f t="shared" si="38"/>
        <v>2020</v>
      </c>
      <c r="P170" s="6" t="str">
        <f t="shared" si="39"/>
        <v>Q4</v>
      </c>
      <c r="Q170" s="6" t="str">
        <f t="shared" si="35"/>
        <v>Profit</v>
      </c>
      <c r="R170" s="6" t="str">
        <f t="shared" si="27"/>
        <v>Top Seller</v>
      </c>
      <c r="S170" t="str">
        <f t="shared" si="36"/>
        <v>Cancelled</v>
      </c>
    </row>
    <row r="171" spans="1:19" x14ac:dyDescent="0.3">
      <c r="A171" s="4" t="s">
        <v>394</v>
      </c>
      <c r="B171" s="5">
        <v>44970</v>
      </c>
      <c r="C171" s="4" t="s">
        <v>9</v>
      </c>
      <c r="D171" s="4" t="s">
        <v>79</v>
      </c>
      <c r="E171" s="4" t="s">
        <v>202</v>
      </c>
      <c r="F171" s="6" t="s">
        <v>209</v>
      </c>
      <c r="G171" s="4">
        <v>4</v>
      </c>
      <c r="H171" s="4">
        <v>20000</v>
      </c>
      <c r="I171" s="4">
        <v>30000</v>
      </c>
      <c r="J171" s="4">
        <f t="shared" si="31"/>
        <v>80000</v>
      </c>
      <c r="K171" s="4">
        <f t="shared" si="32"/>
        <v>120000</v>
      </c>
      <c r="L171" s="4">
        <f t="shared" si="33"/>
        <v>2</v>
      </c>
      <c r="M171" s="4">
        <f t="shared" si="34"/>
        <v>40000</v>
      </c>
      <c r="N171" s="6">
        <f t="shared" si="37"/>
        <v>2</v>
      </c>
      <c r="O171" s="6">
        <f t="shared" si="38"/>
        <v>2023</v>
      </c>
      <c r="P171" s="6" t="str">
        <f t="shared" si="39"/>
        <v>Q1</v>
      </c>
      <c r="Q171" s="6" t="str">
        <f t="shared" si="35"/>
        <v>Profit</v>
      </c>
      <c r="R171" s="6" t="str">
        <f t="shared" si="27"/>
        <v>Normal</v>
      </c>
      <c r="S171" t="str">
        <f t="shared" si="36"/>
        <v>Pending</v>
      </c>
    </row>
    <row r="172" spans="1:19" x14ac:dyDescent="0.3">
      <c r="A172" s="4" t="s">
        <v>395</v>
      </c>
      <c r="B172" s="5">
        <v>44978</v>
      </c>
      <c r="C172" s="4" t="s">
        <v>12</v>
      </c>
      <c r="D172" s="4" t="s">
        <v>163</v>
      </c>
      <c r="E172" s="4" t="s">
        <v>191</v>
      </c>
      <c r="F172" s="6" t="s">
        <v>209</v>
      </c>
      <c r="G172" s="4">
        <v>9</v>
      </c>
      <c r="H172" s="4">
        <v>1500</v>
      </c>
      <c r="I172" s="4">
        <v>3000</v>
      </c>
      <c r="J172" s="4">
        <f t="shared" si="31"/>
        <v>13500</v>
      </c>
      <c r="K172" s="4">
        <f t="shared" si="32"/>
        <v>27000</v>
      </c>
      <c r="L172" s="4">
        <f t="shared" si="33"/>
        <v>2</v>
      </c>
      <c r="M172" s="4">
        <f t="shared" si="34"/>
        <v>13500</v>
      </c>
      <c r="N172" s="6">
        <f t="shared" si="37"/>
        <v>2</v>
      </c>
      <c r="O172" s="6">
        <f t="shared" si="38"/>
        <v>2023</v>
      </c>
      <c r="P172" s="6" t="str">
        <f t="shared" si="39"/>
        <v>Q1</v>
      </c>
      <c r="Q172" s="6" t="str">
        <f t="shared" si="35"/>
        <v>Profit</v>
      </c>
      <c r="R172" s="6" t="str">
        <f t="shared" si="27"/>
        <v>Normal</v>
      </c>
      <c r="S172" t="str">
        <f t="shared" si="36"/>
        <v>Pending</v>
      </c>
    </row>
    <row r="173" spans="1:19" x14ac:dyDescent="0.3">
      <c r="A173" s="4" t="s">
        <v>396</v>
      </c>
      <c r="B173" s="5">
        <v>43977</v>
      </c>
      <c r="C173" s="4" t="s">
        <v>11</v>
      </c>
      <c r="D173" s="4" t="s">
        <v>164</v>
      </c>
      <c r="E173" s="4" t="s">
        <v>201</v>
      </c>
      <c r="F173" s="6" t="s">
        <v>213</v>
      </c>
      <c r="G173" s="4">
        <v>1</v>
      </c>
      <c r="H173" s="4">
        <v>12000</v>
      </c>
      <c r="I173" s="4">
        <v>18000</v>
      </c>
      <c r="J173" s="4">
        <f t="shared" si="31"/>
        <v>12000</v>
      </c>
      <c r="K173" s="4">
        <f t="shared" si="32"/>
        <v>18000</v>
      </c>
      <c r="L173" s="4">
        <f t="shared" si="33"/>
        <v>5</v>
      </c>
      <c r="M173" s="4">
        <f t="shared" si="34"/>
        <v>6000</v>
      </c>
      <c r="N173" s="6">
        <f t="shared" si="37"/>
        <v>5</v>
      </c>
      <c r="O173" s="6">
        <f t="shared" si="38"/>
        <v>2020</v>
      </c>
      <c r="P173" s="6" t="str">
        <f t="shared" si="39"/>
        <v>Q2</v>
      </c>
      <c r="Q173" s="6" t="str">
        <f t="shared" si="35"/>
        <v>Profit</v>
      </c>
      <c r="R173" s="6" t="str">
        <f t="shared" si="27"/>
        <v>Normal</v>
      </c>
      <c r="S173" t="str">
        <f t="shared" si="36"/>
        <v>Cancelled</v>
      </c>
    </row>
    <row r="174" spans="1:19" x14ac:dyDescent="0.3">
      <c r="A174" s="4" t="s">
        <v>397</v>
      </c>
      <c r="B174" s="5">
        <v>44780</v>
      </c>
      <c r="C174" s="4" t="s">
        <v>10</v>
      </c>
      <c r="D174" s="4" t="s">
        <v>165</v>
      </c>
      <c r="E174" s="4" t="s">
        <v>199</v>
      </c>
      <c r="F174" s="6" t="s">
        <v>211</v>
      </c>
      <c r="G174" s="4">
        <v>4</v>
      </c>
      <c r="H174" s="4">
        <v>1500</v>
      </c>
      <c r="I174" s="4">
        <v>3000</v>
      </c>
      <c r="J174" s="4">
        <f t="shared" si="31"/>
        <v>6000</v>
      </c>
      <c r="K174" s="4">
        <f t="shared" si="32"/>
        <v>12000</v>
      </c>
      <c r="L174" s="4">
        <f t="shared" si="33"/>
        <v>8</v>
      </c>
      <c r="M174" s="4">
        <f t="shared" si="34"/>
        <v>6000</v>
      </c>
      <c r="N174" s="6">
        <f t="shared" si="37"/>
        <v>8</v>
      </c>
      <c r="O174" s="6">
        <f t="shared" si="38"/>
        <v>2022</v>
      </c>
      <c r="P174" s="6" t="str">
        <f t="shared" si="39"/>
        <v>Q3</v>
      </c>
      <c r="Q174" s="6" t="str">
        <f t="shared" si="35"/>
        <v>Profit</v>
      </c>
      <c r="R174" s="6" t="str">
        <f t="shared" si="27"/>
        <v>Top Seller</v>
      </c>
      <c r="S174" t="str">
        <f t="shared" si="36"/>
        <v>Pending</v>
      </c>
    </row>
    <row r="175" spans="1:19" x14ac:dyDescent="0.3">
      <c r="A175" s="4" t="s">
        <v>398</v>
      </c>
      <c r="B175" s="5">
        <v>44819</v>
      </c>
      <c r="C175" s="4" t="s">
        <v>9</v>
      </c>
      <c r="D175" s="4" t="s">
        <v>166</v>
      </c>
      <c r="E175" s="4" t="s">
        <v>196</v>
      </c>
      <c r="F175" s="6" t="s">
        <v>215</v>
      </c>
      <c r="G175" s="4">
        <v>4</v>
      </c>
      <c r="H175" s="4">
        <v>12000</v>
      </c>
      <c r="I175" s="4">
        <v>18000</v>
      </c>
      <c r="J175" s="4">
        <f t="shared" si="31"/>
        <v>48000</v>
      </c>
      <c r="K175" s="4">
        <f t="shared" si="32"/>
        <v>72000</v>
      </c>
      <c r="L175" s="4">
        <f t="shared" si="33"/>
        <v>9</v>
      </c>
      <c r="M175" s="4">
        <f t="shared" si="34"/>
        <v>24000</v>
      </c>
      <c r="N175" s="6">
        <f t="shared" si="37"/>
        <v>9</v>
      </c>
      <c r="O175" s="6">
        <f t="shared" si="38"/>
        <v>2022</v>
      </c>
      <c r="P175" s="6" t="str">
        <f t="shared" si="39"/>
        <v>Q3</v>
      </c>
      <c r="Q175" s="6" t="str">
        <f t="shared" si="35"/>
        <v>Profit</v>
      </c>
      <c r="R175" s="6" t="str">
        <f t="shared" si="27"/>
        <v>Top Seller</v>
      </c>
      <c r="S175" t="str">
        <f t="shared" si="36"/>
        <v>Pending</v>
      </c>
    </row>
    <row r="176" spans="1:19" x14ac:dyDescent="0.3">
      <c r="A176" s="4" t="s">
        <v>399</v>
      </c>
      <c r="B176" s="5">
        <v>44404</v>
      </c>
      <c r="C176" s="4" t="s">
        <v>9</v>
      </c>
      <c r="D176" s="4" t="s">
        <v>167</v>
      </c>
      <c r="E176" s="4" t="s">
        <v>204</v>
      </c>
      <c r="F176" s="6" t="s">
        <v>210</v>
      </c>
      <c r="G176" s="4">
        <v>10</v>
      </c>
      <c r="H176" s="4">
        <v>12000</v>
      </c>
      <c r="I176" s="4">
        <v>18000</v>
      </c>
      <c r="J176" s="4">
        <f t="shared" si="31"/>
        <v>120000</v>
      </c>
      <c r="K176" s="4">
        <f t="shared" si="32"/>
        <v>180000</v>
      </c>
      <c r="L176" s="4">
        <f t="shared" si="33"/>
        <v>7</v>
      </c>
      <c r="M176" s="4">
        <f t="shared" si="34"/>
        <v>60000</v>
      </c>
      <c r="N176" s="6">
        <f t="shared" si="37"/>
        <v>7</v>
      </c>
      <c r="O176" s="6">
        <f t="shared" si="38"/>
        <v>2021</v>
      </c>
      <c r="P176" s="6" t="str">
        <f t="shared" si="39"/>
        <v>Q3</v>
      </c>
      <c r="Q176" s="6" t="str">
        <f t="shared" si="35"/>
        <v>Profit</v>
      </c>
      <c r="R176" s="6" t="str">
        <f t="shared" ref="R176:R201" si="40">IF(K177&gt;50000,"Top Seller","Normal")</f>
        <v>Normal</v>
      </c>
      <c r="S176" t="str">
        <f t="shared" si="36"/>
        <v>Completed</v>
      </c>
    </row>
    <row r="177" spans="1:19" x14ac:dyDescent="0.3">
      <c r="A177" s="4" t="s">
        <v>400</v>
      </c>
      <c r="B177" s="5">
        <v>45392</v>
      </c>
      <c r="C177" s="4" t="s">
        <v>9</v>
      </c>
      <c r="D177" s="4" t="s">
        <v>168</v>
      </c>
      <c r="E177" s="4" t="s">
        <v>203</v>
      </c>
      <c r="F177" s="6" t="s">
        <v>214</v>
      </c>
      <c r="G177" s="4">
        <v>3</v>
      </c>
      <c r="H177" s="4">
        <v>1500</v>
      </c>
      <c r="I177" s="4">
        <v>3000</v>
      </c>
      <c r="J177" s="4">
        <f t="shared" si="31"/>
        <v>4500</v>
      </c>
      <c r="K177" s="4">
        <f t="shared" si="32"/>
        <v>9000</v>
      </c>
      <c r="L177" s="4">
        <f t="shared" si="33"/>
        <v>4</v>
      </c>
      <c r="M177" s="4">
        <f t="shared" si="34"/>
        <v>4500</v>
      </c>
      <c r="N177" s="6">
        <f t="shared" si="37"/>
        <v>4</v>
      </c>
      <c r="O177" s="6">
        <f t="shared" si="38"/>
        <v>2024</v>
      </c>
      <c r="P177" s="6" t="str">
        <f t="shared" si="39"/>
        <v>Q2</v>
      </c>
      <c r="Q177" s="6" t="str">
        <f t="shared" si="35"/>
        <v>Profit</v>
      </c>
      <c r="R177" s="6" t="str">
        <f t="shared" si="40"/>
        <v>Normal</v>
      </c>
      <c r="S177" t="str">
        <f t="shared" si="36"/>
        <v>Pending</v>
      </c>
    </row>
    <row r="178" spans="1:19" x14ac:dyDescent="0.3">
      <c r="A178" s="4" t="s">
        <v>401</v>
      </c>
      <c r="B178" s="5">
        <v>44108</v>
      </c>
      <c r="C178" s="4" t="s">
        <v>11</v>
      </c>
      <c r="D178" s="4" t="s">
        <v>169</v>
      </c>
      <c r="E178" s="4" t="s">
        <v>200</v>
      </c>
      <c r="F178" s="6" t="s">
        <v>209</v>
      </c>
      <c r="G178" s="4">
        <v>3</v>
      </c>
      <c r="H178" s="4">
        <v>6000</v>
      </c>
      <c r="I178" s="4">
        <v>10000</v>
      </c>
      <c r="J178" s="4">
        <f t="shared" si="31"/>
        <v>18000</v>
      </c>
      <c r="K178" s="4">
        <f t="shared" si="32"/>
        <v>30000</v>
      </c>
      <c r="L178" s="4">
        <f t="shared" si="33"/>
        <v>10</v>
      </c>
      <c r="M178" s="4">
        <f t="shared" si="34"/>
        <v>12000</v>
      </c>
      <c r="N178" s="6">
        <f t="shared" si="37"/>
        <v>10</v>
      </c>
      <c r="O178" s="6">
        <f t="shared" si="38"/>
        <v>2020</v>
      </c>
      <c r="P178" s="6" t="str">
        <f t="shared" si="39"/>
        <v>Q4</v>
      </c>
      <c r="Q178" s="6" t="str">
        <f t="shared" si="35"/>
        <v>Profit</v>
      </c>
      <c r="R178" s="6" t="str">
        <f t="shared" si="40"/>
        <v>Top Seller</v>
      </c>
      <c r="S178" t="str">
        <f t="shared" si="36"/>
        <v>Pending</v>
      </c>
    </row>
    <row r="179" spans="1:19" x14ac:dyDescent="0.3">
      <c r="A179" s="4" t="s">
        <v>402</v>
      </c>
      <c r="B179" s="5">
        <v>44487</v>
      </c>
      <c r="C179" s="4" t="s">
        <v>12</v>
      </c>
      <c r="D179" s="4" t="s">
        <v>170</v>
      </c>
      <c r="E179" s="4" t="s">
        <v>202</v>
      </c>
      <c r="F179" s="6" t="s">
        <v>211</v>
      </c>
      <c r="G179" s="4">
        <v>9</v>
      </c>
      <c r="H179" s="4">
        <v>35000</v>
      </c>
      <c r="I179" s="4">
        <v>52000</v>
      </c>
      <c r="J179" s="4">
        <f t="shared" si="31"/>
        <v>315000</v>
      </c>
      <c r="K179" s="4">
        <f t="shared" si="32"/>
        <v>468000</v>
      </c>
      <c r="L179" s="4">
        <f t="shared" si="33"/>
        <v>10</v>
      </c>
      <c r="M179" s="4">
        <f t="shared" si="34"/>
        <v>153000</v>
      </c>
      <c r="N179" s="6">
        <f t="shared" si="37"/>
        <v>10</v>
      </c>
      <c r="O179" s="6">
        <f t="shared" si="38"/>
        <v>2021</v>
      </c>
      <c r="P179" s="6" t="str">
        <f t="shared" si="39"/>
        <v>Q4</v>
      </c>
      <c r="Q179" s="6" t="str">
        <f t="shared" si="35"/>
        <v>Profit</v>
      </c>
      <c r="R179" s="6" t="str">
        <f t="shared" si="40"/>
        <v>Top Seller</v>
      </c>
      <c r="S179" t="str">
        <f t="shared" si="36"/>
        <v>Pending</v>
      </c>
    </row>
    <row r="180" spans="1:19" x14ac:dyDescent="0.3">
      <c r="A180" s="4" t="s">
        <v>403</v>
      </c>
      <c r="B180" s="5">
        <v>45353</v>
      </c>
      <c r="C180" s="4" t="s">
        <v>10</v>
      </c>
      <c r="D180" s="4" t="s">
        <v>171</v>
      </c>
      <c r="E180" s="4" t="s">
        <v>196</v>
      </c>
      <c r="F180" s="6" t="s">
        <v>209</v>
      </c>
      <c r="G180" s="4">
        <v>7</v>
      </c>
      <c r="H180" s="4">
        <v>12000</v>
      </c>
      <c r="I180" s="4">
        <v>18000</v>
      </c>
      <c r="J180" s="4">
        <f t="shared" si="31"/>
        <v>84000</v>
      </c>
      <c r="K180" s="4">
        <f t="shared" si="32"/>
        <v>126000</v>
      </c>
      <c r="L180" s="4">
        <f t="shared" si="33"/>
        <v>3</v>
      </c>
      <c r="M180" s="4">
        <f t="shared" si="34"/>
        <v>42000</v>
      </c>
      <c r="N180" s="6">
        <f t="shared" si="37"/>
        <v>3</v>
      </c>
      <c r="O180" s="6">
        <f t="shared" si="38"/>
        <v>2024</v>
      </c>
      <c r="P180" s="6" t="str">
        <f t="shared" si="39"/>
        <v>Q1</v>
      </c>
      <c r="Q180" s="6" t="str">
        <f t="shared" si="35"/>
        <v>Profit</v>
      </c>
      <c r="R180" s="6" t="str">
        <f t="shared" si="40"/>
        <v>Top Seller</v>
      </c>
      <c r="S180" t="str">
        <f t="shared" si="36"/>
        <v>Pending</v>
      </c>
    </row>
    <row r="181" spans="1:19" x14ac:dyDescent="0.3">
      <c r="A181" s="4" t="s">
        <v>404</v>
      </c>
      <c r="B181" s="5">
        <v>45416</v>
      </c>
      <c r="C181" s="4" t="s">
        <v>12</v>
      </c>
      <c r="D181" s="4" t="s">
        <v>172</v>
      </c>
      <c r="E181" s="4" t="s">
        <v>201</v>
      </c>
      <c r="F181" s="6" t="s">
        <v>209</v>
      </c>
      <c r="G181" s="4">
        <v>6</v>
      </c>
      <c r="H181" s="4">
        <v>20000</v>
      </c>
      <c r="I181" s="4">
        <v>30000</v>
      </c>
      <c r="J181" s="4">
        <f t="shared" si="31"/>
        <v>120000</v>
      </c>
      <c r="K181" s="4">
        <f t="shared" si="32"/>
        <v>180000</v>
      </c>
      <c r="L181" s="4">
        <f t="shared" si="33"/>
        <v>5</v>
      </c>
      <c r="M181" s="4">
        <f t="shared" si="34"/>
        <v>60000</v>
      </c>
      <c r="N181" s="6">
        <f t="shared" si="37"/>
        <v>5</v>
      </c>
      <c r="O181" s="6">
        <f t="shared" si="38"/>
        <v>2024</v>
      </c>
      <c r="P181" s="6" t="str">
        <f t="shared" si="39"/>
        <v>Q2</v>
      </c>
      <c r="Q181" s="6" t="str">
        <f t="shared" si="35"/>
        <v>Profit</v>
      </c>
      <c r="R181" s="6" t="str">
        <f t="shared" si="40"/>
        <v>Top Seller</v>
      </c>
      <c r="S181" t="str">
        <f t="shared" si="36"/>
        <v>Pending</v>
      </c>
    </row>
    <row r="182" spans="1:19" x14ac:dyDescent="0.3">
      <c r="A182" s="4" t="s">
        <v>405</v>
      </c>
      <c r="B182" s="5">
        <v>44833</v>
      </c>
      <c r="C182" s="4" t="s">
        <v>9</v>
      </c>
      <c r="D182" s="4" t="s">
        <v>61</v>
      </c>
      <c r="E182" s="4" t="s">
        <v>201</v>
      </c>
      <c r="F182" s="6" t="s">
        <v>215</v>
      </c>
      <c r="G182" s="4">
        <v>7</v>
      </c>
      <c r="H182" s="4">
        <v>35000</v>
      </c>
      <c r="I182" s="4">
        <v>52000</v>
      </c>
      <c r="J182" s="4">
        <f t="shared" si="31"/>
        <v>245000</v>
      </c>
      <c r="K182" s="4">
        <f t="shared" si="32"/>
        <v>364000</v>
      </c>
      <c r="L182" s="4">
        <f t="shared" si="33"/>
        <v>9</v>
      </c>
      <c r="M182" s="4">
        <f t="shared" si="34"/>
        <v>119000</v>
      </c>
      <c r="N182" s="6">
        <f t="shared" si="37"/>
        <v>9</v>
      </c>
      <c r="O182" s="6">
        <f t="shared" si="38"/>
        <v>2022</v>
      </c>
      <c r="P182" s="6" t="str">
        <f t="shared" si="39"/>
        <v>Q3</v>
      </c>
      <c r="Q182" s="6" t="str">
        <f t="shared" si="35"/>
        <v>Profit</v>
      </c>
      <c r="R182" s="6" t="str">
        <f t="shared" si="40"/>
        <v>Top Seller</v>
      </c>
      <c r="S182" t="str">
        <f t="shared" si="36"/>
        <v>Pending</v>
      </c>
    </row>
    <row r="183" spans="1:19" x14ac:dyDescent="0.3">
      <c r="A183" s="4" t="s">
        <v>406</v>
      </c>
      <c r="B183" s="5">
        <v>44117</v>
      </c>
      <c r="C183" s="4" t="s">
        <v>10</v>
      </c>
      <c r="D183" s="4" t="s">
        <v>173</v>
      </c>
      <c r="E183" s="4" t="s">
        <v>204</v>
      </c>
      <c r="F183" s="6" t="s">
        <v>211</v>
      </c>
      <c r="G183" s="4">
        <v>8</v>
      </c>
      <c r="H183" s="4">
        <v>20000</v>
      </c>
      <c r="I183" s="4">
        <v>30000</v>
      </c>
      <c r="J183" s="4">
        <f t="shared" si="31"/>
        <v>160000</v>
      </c>
      <c r="K183" s="4">
        <f t="shared" si="32"/>
        <v>240000</v>
      </c>
      <c r="L183" s="4">
        <f t="shared" si="33"/>
        <v>10</v>
      </c>
      <c r="M183" s="4">
        <f t="shared" si="34"/>
        <v>80000</v>
      </c>
      <c r="N183" s="6">
        <f t="shared" si="37"/>
        <v>10</v>
      </c>
      <c r="O183" s="6">
        <f t="shared" si="38"/>
        <v>2020</v>
      </c>
      <c r="P183" s="6" t="str">
        <f t="shared" si="39"/>
        <v>Q4</v>
      </c>
      <c r="Q183" s="6" t="str">
        <f t="shared" si="35"/>
        <v>Profit</v>
      </c>
      <c r="R183" s="6" t="str">
        <f t="shared" si="40"/>
        <v>Normal</v>
      </c>
      <c r="S183" t="str">
        <f t="shared" si="36"/>
        <v>Pending</v>
      </c>
    </row>
    <row r="184" spans="1:19" x14ac:dyDescent="0.3">
      <c r="A184" s="4" t="s">
        <v>407</v>
      </c>
      <c r="B184" s="5">
        <v>44042</v>
      </c>
      <c r="C184" s="4" t="s">
        <v>11</v>
      </c>
      <c r="D184" s="4" t="s">
        <v>174</v>
      </c>
      <c r="E184" s="4" t="s">
        <v>196</v>
      </c>
      <c r="F184" s="6" t="s">
        <v>211</v>
      </c>
      <c r="G184" s="4">
        <v>4</v>
      </c>
      <c r="H184" s="4">
        <v>6000</v>
      </c>
      <c r="I184" s="4">
        <v>10000</v>
      </c>
      <c r="J184" s="4">
        <f t="shared" si="31"/>
        <v>24000</v>
      </c>
      <c r="K184" s="4">
        <f t="shared" si="32"/>
        <v>40000</v>
      </c>
      <c r="L184" s="4">
        <f t="shared" si="33"/>
        <v>7</v>
      </c>
      <c r="M184" s="4">
        <f t="shared" si="34"/>
        <v>16000</v>
      </c>
      <c r="N184" s="6">
        <f t="shared" si="37"/>
        <v>7</v>
      </c>
      <c r="O184" s="6">
        <f t="shared" si="38"/>
        <v>2020</v>
      </c>
      <c r="P184" s="6" t="str">
        <f t="shared" si="39"/>
        <v>Q3</v>
      </c>
      <c r="Q184" s="6" t="str">
        <f t="shared" si="35"/>
        <v>Profit</v>
      </c>
      <c r="R184" s="6" t="str">
        <f t="shared" si="40"/>
        <v>Top Seller</v>
      </c>
      <c r="S184" t="str">
        <f t="shared" si="36"/>
        <v>Pending</v>
      </c>
    </row>
    <row r="185" spans="1:19" x14ac:dyDescent="0.3">
      <c r="A185" s="4" t="s">
        <v>408</v>
      </c>
      <c r="B185" s="5">
        <v>43886</v>
      </c>
      <c r="C185" s="4" t="s">
        <v>11</v>
      </c>
      <c r="D185" s="4" t="s">
        <v>90</v>
      </c>
      <c r="E185" s="4" t="s">
        <v>196</v>
      </c>
      <c r="F185" s="6" t="s">
        <v>213</v>
      </c>
      <c r="G185" s="4">
        <v>7</v>
      </c>
      <c r="H185" s="4">
        <v>6000</v>
      </c>
      <c r="I185" s="4">
        <v>10000</v>
      </c>
      <c r="J185" s="4">
        <f t="shared" si="31"/>
        <v>42000</v>
      </c>
      <c r="K185" s="4">
        <f t="shared" si="32"/>
        <v>70000</v>
      </c>
      <c r="L185" s="4">
        <f t="shared" si="33"/>
        <v>2</v>
      </c>
      <c r="M185" s="4">
        <f t="shared" si="34"/>
        <v>28000</v>
      </c>
      <c r="N185" s="6">
        <f t="shared" si="37"/>
        <v>2</v>
      </c>
      <c r="O185" s="6">
        <f t="shared" si="38"/>
        <v>2020</v>
      </c>
      <c r="P185" s="6" t="str">
        <f t="shared" si="39"/>
        <v>Q1</v>
      </c>
      <c r="Q185" s="6" t="str">
        <f t="shared" si="35"/>
        <v>Profit</v>
      </c>
      <c r="R185" s="6" t="str">
        <f t="shared" si="40"/>
        <v>Top Seller</v>
      </c>
      <c r="S185" t="str">
        <f t="shared" si="36"/>
        <v>Pending</v>
      </c>
    </row>
    <row r="186" spans="1:19" x14ac:dyDescent="0.3">
      <c r="A186" s="4" t="s">
        <v>409</v>
      </c>
      <c r="B186" s="5">
        <v>44048</v>
      </c>
      <c r="C186" s="4" t="s">
        <v>10</v>
      </c>
      <c r="D186" s="4" t="s">
        <v>175</v>
      </c>
      <c r="E186" s="4" t="s">
        <v>199</v>
      </c>
      <c r="F186" s="6" t="s">
        <v>212</v>
      </c>
      <c r="G186" s="4">
        <v>8</v>
      </c>
      <c r="H186" s="4">
        <v>12000</v>
      </c>
      <c r="I186" s="4">
        <v>18000</v>
      </c>
      <c r="J186" s="4">
        <f t="shared" si="31"/>
        <v>96000</v>
      </c>
      <c r="K186" s="4">
        <f t="shared" si="32"/>
        <v>144000</v>
      </c>
      <c r="L186" s="4">
        <f t="shared" si="33"/>
        <v>8</v>
      </c>
      <c r="M186" s="4">
        <f t="shared" si="34"/>
        <v>48000</v>
      </c>
      <c r="N186" s="6">
        <f t="shared" si="37"/>
        <v>8</v>
      </c>
      <c r="O186" s="6">
        <f t="shared" si="38"/>
        <v>2020</v>
      </c>
      <c r="P186" s="6" t="str">
        <f t="shared" si="39"/>
        <v>Q3</v>
      </c>
      <c r="Q186" s="6" t="str">
        <f t="shared" si="35"/>
        <v>Profit</v>
      </c>
      <c r="R186" s="6" t="str">
        <f t="shared" si="40"/>
        <v>Normal</v>
      </c>
      <c r="S186" t="str">
        <f t="shared" si="36"/>
        <v>Pending</v>
      </c>
    </row>
    <row r="187" spans="1:19" x14ac:dyDescent="0.3">
      <c r="A187" s="4" t="s">
        <v>410</v>
      </c>
      <c r="B187" s="5">
        <v>44296</v>
      </c>
      <c r="C187" s="4" t="s">
        <v>12</v>
      </c>
      <c r="D187" s="4" t="s">
        <v>176</v>
      </c>
      <c r="E187" s="4" t="s">
        <v>187</v>
      </c>
      <c r="F187" s="6" t="s">
        <v>206</v>
      </c>
      <c r="G187" s="4">
        <v>6</v>
      </c>
      <c r="H187" s="4">
        <v>1500</v>
      </c>
      <c r="I187" s="4">
        <v>3000</v>
      </c>
      <c r="J187" s="4">
        <f t="shared" si="31"/>
        <v>9000</v>
      </c>
      <c r="K187" s="4">
        <f t="shared" si="32"/>
        <v>18000</v>
      </c>
      <c r="L187" s="4">
        <f t="shared" si="33"/>
        <v>4</v>
      </c>
      <c r="M187" s="4">
        <f t="shared" si="34"/>
        <v>9000</v>
      </c>
      <c r="N187" s="6">
        <f t="shared" si="37"/>
        <v>4</v>
      </c>
      <c r="O187" s="6">
        <f t="shared" si="38"/>
        <v>2021</v>
      </c>
      <c r="P187" s="6" t="str">
        <f t="shared" si="39"/>
        <v>Q2</v>
      </c>
      <c r="Q187" s="6" t="str">
        <f t="shared" si="35"/>
        <v>Profit</v>
      </c>
      <c r="R187" s="6" t="str">
        <f t="shared" si="40"/>
        <v>Top Seller</v>
      </c>
      <c r="S187" t="str">
        <f t="shared" si="36"/>
        <v>Pending</v>
      </c>
    </row>
    <row r="188" spans="1:19" x14ac:dyDescent="0.3">
      <c r="A188" s="4" t="s">
        <v>411</v>
      </c>
      <c r="B188" s="5">
        <v>45469</v>
      </c>
      <c r="C188" s="4" t="s">
        <v>10</v>
      </c>
      <c r="D188" s="4" t="s">
        <v>177</v>
      </c>
      <c r="E188" s="4" t="s">
        <v>186</v>
      </c>
      <c r="F188" s="6" t="s">
        <v>217</v>
      </c>
      <c r="G188" s="4">
        <v>1</v>
      </c>
      <c r="H188" s="4">
        <v>35000</v>
      </c>
      <c r="I188" s="4">
        <v>52000</v>
      </c>
      <c r="J188" s="4">
        <f t="shared" si="31"/>
        <v>35000</v>
      </c>
      <c r="K188" s="4">
        <f t="shared" si="32"/>
        <v>52000</v>
      </c>
      <c r="L188" s="4">
        <f t="shared" si="33"/>
        <v>6</v>
      </c>
      <c r="M188" s="4">
        <f t="shared" si="34"/>
        <v>17000</v>
      </c>
      <c r="N188" s="6">
        <f t="shared" si="37"/>
        <v>6</v>
      </c>
      <c r="O188" s="6">
        <f t="shared" si="38"/>
        <v>2024</v>
      </c>
      <c r="P188" s="6" t="str">
        <f t="shared" si="39"/>
        <v>Q2</v>
      </c>
      <c r="Q188" s="6" t="str">
        <f t="shared" si="35"/>
        <v>Profit</v>
      </c>
      <c r="R188" s="6" t="str">
        <f t="shared" si="40"/>
        <v>Normal</v>
      </c>
      <c r="S188" t="str">
        <f t="shared" si="36"/>
        <v>Cancelled</v>
      </c>
    </row>
    <row r="189" spans="1:19" x14ac:dyDescent="0.3">
      <c r="A189" s="4" t="s">
        <v>412</v>
      </c>
      <c r="B189" s="5">
        <v>43936</v>
      </c>
      <c r="C189" s="4" t="s">
        <v>9</v>
      </c>
      <c r="D189" s="4" t="s">
        <v>178</v>
      </c>
      <c r="E189" s="4" t="s">
        <v>190</v>
      </c>
      <c r="F189" s="6" t="s">
        <v>216</v>
      </c>
      <c r="G189" s="4">
        <v>1</v>
      </c>
      <c r="H189" s="4">
        <v>12000</v>
      </c>
      <c r="I189" s="4">
        <v>18000</v>
      </c>
      <c r="J189" s="4">
        <f t="shared" si="31"/>
        <v>12000</v>
      </c>
      <c r="K189" s="4">
        <f t="shared" si="32"/>
        <v>18000</v>
      </c>
      <c r="L189" s="4">
        <f t="shared" si="33"/>
        <v>4</v>
      </c>
      <c r="M189" s="4">
        <f t="shared" si="34"/>
        <v>6000</v>
      </c>
      <c r="N189" s="6">
        <f t="shared" si="37"/>
        <v>4</v>
      </c>
      <c r="O189" s="6">
        <f t="shared" si="38"/>
        <v>2020</v>
      </c>
      <c r="P189" s="6" t="str">
        <f t="shared" si="39"/>
        <v>Q2</v>
      </c>
      <c r="Q189" s="6" t="str">
        <f t="shared" si="35"/>
        <v>Profit</v>
      </c>
      <c r="R189" s="6" t="str">
        <f t="shared" si="40"/>
        <v>Top Seller</v>
      </c>
      <c r="S189" t="str">
        <f t="shared" si="36"/>
        <v>Cancelled</v>
      </c>
    </row>
    <row r="190" spans="1:19" x14ac:dyDescent="0.3">
      <c r="A190" s="4" t="s">
        <v>413</v>
      </c>
      <c r="B190" s="5">
        <v>44521</v>
      </c>
      <c r="C190" s="4" t="s">
        <v>11</v>
      </c>
      <c r="D190" s="4" t="s">
        <v>71</v>
      </c>
      <c r="E190" s="4" t="s">
        <v>205</v>
      </c>
      <c r="F190" s="6" t="s">
        <v>208</v>
      </c>
      <c r="G190" s="4">
        <v>6</v>
      </c>
      <c r="H190" s="4">
        <v>12000</v>
      </c>
      <c r="I190" s="4">
        <v>18000</v>
      </c>
      <c r="J190" s="4">
        <f t="shared" si="31"/>
        <v>72000</v>
      </c>
      <c r="K190" s="4">
        <f t="shared" si="32"/>
        <v>108000</v>
      </c>
      <c r="L190" s="4">
        <f t="shared" si="33"/>
        <v>11</v>
      </c>
      <c r="M190" s="4">
        <f t="shared" si="34"/>
        <v>36000</v>
      </c>
      <c r="N190" s="6">
        <f t="shared" si="37"/>
        <v>11</v>
      </c>
      <c r="O190" s="6">
        <f t="shared" si="38"/>
        <v>2021</v>
      </c>
      <c r="P190" s="6" t="str">
        <f t="shared" si="39"/>
        <v>Q4</v>
      </c>
      <c r="Q190" s="6" t="str">
        <f t="shared" si="35"/>
        <v>Profit</v>
      </c>
      <c r="R190" s="6" t="str">
        <f t="shared" si="40"/>
        <v>Top Seller</v>
      </c>
      <c r="S190" t="str">
        <f t="shared" si="36"/>
        <v>Pending</v>
      </c>
    </row>
    <row r="191" spans="1:19" x14ac:dyDescent="0.3">
      <c r="A191" s="4" t="s">
        <v>414</v>
      </c>
      <c r="B191" s="5">
        <v>45226</v>
      </c>
      <c r="C191" s="4" t="s">
        <v>11</v>
      </c>
      <c r="D191" s="4" t="s">
        <v>179</v>
      </c>
      <c r="E191" s="4" t="s">
        <v>194</v>
      </c>
      <c r="F191" s="6" t="s">
        <v>207</v>
      </c>
      <c r="G191" s="4">
        <v>4</v>
      </c>
      <c r="H191" s="4">
        <v>20000</v>
      </c>
      <c r="I191" s="4">
        <v>30000</v>
      </c>
      <c r="J191" s="4">
        <f t="shared" si="31"/>
        <v>80000</v>
      </c>
      <c r="K191" s="4">
        <f t="shared" si="32"/>
        <v>120000</v>
      </c>
      <c r="L191" s="4">
        <f t="shared" si="33"/>
        <v>10</v>
      </c>
      <c r="M191" s="4">
        <f t="shared" si="34"/>
        <v>40000</v>
      </c>
      <c r="N191" s="6">
        <f t="shared" si="37"/>
        <v>10</v>
      </c>
      <c r="O191" s="6">
        <f t="shared" si="38"/>
        <v>2023</v>
      </c>
      <c r="P191" s="6" t="str">
        <f t="shared" si="39"/>
        <v>Q4</v>
      </c>
      <c r="Q191" s="6" t="str">
        <f t="shared" si="35"/>
        <v>Profit</v>
      </c>
      <c r="R191" s="6" t="str">
        <f t="shared" si="40"/>
        <v>Top Seller</v>
      </c>
      <c r="S191" t="str">
        <f t="shared" si="36"/>
        <v>Pending</v>
      </c>
    </row>
    <row r="192" spans="1:19" x14ac:dyDescent="0.3">
      <c r="A192" s="4" t="s">
        <v>415</v>
      </c>
      <c r="B192" s="5">
        <v>45150</v>
      </c>
      <c r="C192" s="4" t="s">
        <v>11</v>
      </c>
      <c r="D192" s="4" t="s">
        <v>180</v>
      </c>
      <c r="E192" s="4" t="s">
        <v>192</v>
      </c>
      <c r="F192" s="6" t="s">
        <v>209</v>
      </c>
      <c r="G192" s="4">
        <v>6</v>
      </c>
      <c r="H192" s="4">
        <v>20000</v>
      </c>
      <c r="I192" s="4">
        <v>30000</v>
      </c>
      <c r="J192" s="4">
        <f t="shared" si="31"/>
        <v>120000</v>
      </c>
      <c r="K192" s="4">
        <f t="shared" si="32"/>
        <v>180000</v>
      </c>
      <c r="L192" s="4">
        <f t="shared" si="33"/>
        <v>8</v>
      </c>
      <c r="M192" s="4">
        <f t="shared" si="34"/>
        <v>60000</v>
      </c>
      <c r="N192" s="6">
        <f t="shared" si="37"/>
        <v>8</v>
      </c>
      <c r="O192" s="6">
        <f t="shared" si="38"/>
        <v>2023</v>
      </c>
      <c r="P192" s="6" t="str">
        <f t="shared" si="39"/>
        <v>Q3</v>
      </c>
      <c r="Q192" s="6" t="str">
        <f t="shared" si="35"/>
        <v>Profit</v>
      </c>
      <c r="R192" s="6" t="str">
        <f t="shared" si="40"/>
        <v>Top Seller</v>
      </c>
      <c r="S192" t="str">
        <f t="shared" si="36"/>
        <v>Pending</v>
      </c>
    </row>
    <row r="193" spans="1:20" x14ac:dyDescent="0.3">
      <c r="A193" s="4" t="s">
        <v>416</v>
      </c>
      <c r="B193" s="5">
        <v>44089</v>
      </c>
      <c r="C193" s="4" t="s">
        <v>11</v>
      </c>
      <c r="D193" s="4" t="s">
        <v>181</v>
      </c>
      <c r="E193" s="4" t="s">
        <v>202</v>
      </c>
      <c r="F193" s="6" t="s">
        <v>209</v>
      </c>
      <c r="G193" s="4">
        <v>6</v>
      </c>
      <c r="H193" s="4">
        <v>12000</v>
      </c>
      <c r="I193" s="4">
        <v>18000</v>
      </c>
      <c r="J193" s="4">
        <f t="shared" si="31"/>
        <v>72000</v>
      </c>
      <c r="K193" s="4">
        <f t="shared" si="32"/>
        <v>108000</v>
      </c>
      <c r="L193" s="4">
        <f t="shared" si="33"/>
        <v>9</v>
      </c>
      <c r="M193" s="4">
        <f t="shared" si="34"/>
        <v>36000</v>
      </c>
      <c r="N193" s="6">
        <f t="shared" si="37"/>
        <v>9</v>
      </c>
      <c r="O193" s="6">
        <f t="shared" si="38"/>
        <v>2020</v>
      </c>
      <c r="P193" s="6" t="str">
        <f t="shared" si="39"/>
        <v>Q3</v>
      </c>
      <c r="Q193" s="6" t="str">
        <f t="shared" si="35"/>
        <v>Profit</v>
      </c>
      <c r="R193" s="6" t="str">
        <f t="shared" si="40"/>
        <v>Top Seller</v>
      </c>
      <c r="S193" t="str">
        <f t="shared" si="36"/>
        <v>Pending</v>
      </c>
    </row>
    <row r="194" spans="1:20" x14ac:dyDescent="0.3">
      <c r="A194" s="4" t="s">
        <v>417</v>
      </c>
      <c r="B194" s="5">
        <v>44310</v>
      </c>
      <c r="C194" s="4" t="s">
        <v>9</v>
      </c>
      <c r="D194" s="4" t="s">
        <v>172</v>
      </c>
      <c r="E194" s="4" t="s">
        <v>191</v>
      </c>
      <c r="F194" s="6" t="s">
        <v>209</v>
      </c>
      <c r="G194" s="4">
        <v>6</v>
      </c>
      <c r="H194" s="4">
        <v>20000</v>
      </c>
      <c r="I194" s="4">
        <v>30000</v>
      </c>
      <c r="J194" s="4">
        <f t="shared" si="31"/>
        <v>120000</v>
      </c>
      <c r="K194" s="4">
        <f t="shared" si="32"/>
        <v>180000</v>
      </c>
      <c r="L194" s="4">
        <f t="shared" si="33"/>
        <v>4</v>
      </c>
      <c r="M194" s="4">
        <f t="shared" si="34"/>
        <v>60000</v>
      </c>
      <c r="N194" s="6">
        <f t="shared" ref="N194:N201" si="41">MONTH(B:B)</f>
        <v>4</v>
      </c>
      <c r="O194" s="6">
        <f t="shared" ref="O194:O201" si="42">YEAR(B:B)</f>
        <v>2021</v>
      </c>
      <c r="P194" s="6" t="str">
        <f t="shared" ref="P194:P201" si="43">"Q"&amp;ROUNDUP(MONTH(B:B)/3,0)</f>
        <v>Q2</v>
      </c>
      <c r="Q194" s="6" t="str">
        <f t="shared" si="35"/>
        <v>Profit</v>
      </c>
      <c r="R194" s="6" t="str">
        <f t="shared" si="40"/>
        <v>Normal</v>
      </c>
      <c r="S194" t="str">
        <f t="shared" si="36"/>
        <v>Pending</v>
      </c>
    </row>
    <row r="195" spans="1:20" x14ac:dyDescent="0.3">
      <c r="A195" s="4" t="s">
        <v>418</v>
      </c>
      <c r="B195" s="5">
        <v>45383</v>
      </c>
      <c r="C195" s="4" t="s">
        <v>10</v>
      </c>
      <c r="D195" s="4" t="s">
        <v>182</v>
      </c>
      <c r="E195" s="4" t="s">
        <v>201</v>
      </c>
      <c r="F195" s="6" t="s">
        <v>207</v>
      </c>
      <c r="G195" s="4">
        <v>4</v>
      </c>
      <c r="H195" s="4">
        <v>6000</v>
      </c>
      <c r="I195" s="4">
        <v>10000</v>
      </c>
      <c r="J195" s="4">
        <f t="shared" ref="J195:J201" si="44">H195*G195</f>
        <v>24000</v>
      </c>
      <c r="K195" s="4">
        <f t="shared" ref="K195:K201" si="45">G195*I195</f>
        <v>40000</v>
      </c>
      <c r="L195" s="4">
        <f t="shared" ref="L195:L201" si="46">MONTH(B:B)</f>
        <v>4</v>
      </c>
      <c r="M195" s="4">
        <f t="shared" ref="M195:M201" si="47">K195-J195</f>
        <v>16000</v>
      </c>
      <c r="N195" s="6">
        <f t="shared" si="41"/>
        <v>4</v>
      </c>
      <c r="O195" s="6">
        <f t="shared" si="42"/>
        <v>2024</v>
      </c>
      <c r="P195" s="6" t="str">
        <f t="shared" si="43"/>
        <v>Q2</v>
      </c>
      <c r="Q195" s="6" t="str">
        <f t="shared" ref="Q195:Q201" si="48">IF(M195&gt;0,"Profit",IF(M195=0,"Break Even"))</f>
        <v>Profit</v>
      </c>
      <c r="R195" s="6" t="str">
        <f t="shared" si="40"/>
        <v>Top Seller</v>
      </c>
      <c r="S195" t="str">
        <f t="shared" si="36"/>
        <v>Pending</v>
      </c>
    </row>
    <row r="196" spans="1:20" x14ac:dyDescent="0.3">
      <c r="A196" s="4" t="s">
        <v>419</v>
      </c>
      <c r="B196" s="5">
        <v>44882</v>
      </c>
      <c r="C196" s="4" t="s">
        <v>12</v>
      </c>
      <c r="D196" s="4" t="s">
        <v>183</v>
      </c>
      <c r="E196" s="4" t="s">
        <v>189</v>
      </c>
      <c r="F196" s="6" t="s">
        <v>208</v>
      </c>
      <c r="G196" s="4">
        <v>7</v>
      </c>
      <c r="H196" s="4">
        <v>20000</v>
      </c>
      <c r="I196" s="4">
        <v>30000</v>
      </c>
      <c r="J196" s="4">
        <f t="shared" si="44"/>
        <v>140000</v>
      </c>
      <c r="K196" s="4">
        <f t="shared" si="45"/>
        <v>210000</v>
      </c>
      <c r="L196" s="4">
        <f t="shared" si="46"/>
        <v>11</v>
      </c>
      <c r="M196" s="4">
        <f t="shared" si="47"/>
        <v>70000</v>
      </c>
      <c r="N196" s="6">
        <f t="shared" si="41"/>
        <v>11</v>
      </c>
      <c r="O196" s="6">
        <f t="shared" si="42"/>
        <v>2022</v>
      </c>
      <c r="P196" s="6" t="str">
        <f t="shared" si="43"/>
        <v>Q4</v>
      </c>
      <c r="Q196" s="6" t="str">
        <f t="shared" si="48"/>
        <v>Profit</v>
      </c>
      <c r="R196" s="6" t="str">
        <f t="shared" si="40"/>
        <v>Top Seller</v>
      </c>
      <c r="S196" t="str">
        <f t="shared" ref="S196:S201" si="49">IF(G196&lt;=2,"Cancelled",IF(G196=10,"Completed","Pending"))</f>
        <v>Pending</v>
      </c>
    </row>
    <row r="197" spans="1:20" x14ac:dyDescent="0.3">
      <c r="A197" s="4" t="s">
        <v>420</v>
      </c>
      <c r="B197" s="5">
        <v>44532</v>
      </c>
      <c r="C197" s="4" t="s">
        <v>11</v>
      </c>
      <c r="D197" s="4" t="s">
        <v>184</v>
      </c>
      <c r="E197" s="4" t="s">
        <v>194</v>
      </c>
      <c r="F197" s="6" t="s">
        <v>210</v>
      </c>
      <c r="G197" s="4">
        <v>9</v>
      </c>
      <c r="H197" s="4">
        <v>35000</v>
      </c>
      <c r="I197" s="4">
        <v>52000</v>
      </c>
      <c r="J197" s="4">
        <f t="shared" si="44"/>
        <v>315000</v>
      </c>
      <c r="K197" s="4">
        <f t="shared" si="45"/>
        <v>468000</v>
      </c>
      <c r="L197" s="4">
        <f t="shared" si="46"/>
        <v>12</v>
      </c>
      <c r="M197" s="4">
        <f t="shared" si="47"/>
        <v>153000</v>
      </c>
      <c r="N197" s="6">
        <f t="shared" si="41"/>
        <v>12</v>
      </c>
      <c r="O197" s="6">
        <f t="shared" si="42"/>
        <v>2021</v>
      </c>
      <c r="P197" s="6" t="str">
        <f t="shared" si="43"/>
        <v>Q4</v>
      </c>
      <c r="Q197" s="6" t="str">
        <f t="shared" si="48"/>
        <v>Profit</v>
      </c>
      <c r="R197" s="6" t="str">
        <f t="shared" si="40"/>
        <v>Top Seller</v>
      </c>
      <c r="S197" t="str">
        <f t="shared" si="49"/>
        <v>Pending</v>
      </c>
    </row>
    <row r="198" spans="1:20" x14ac:dyDescent="0.3">
      <c r="A198" s="4" t="s">
        <v>421</v>
      </c>
      <c r="B198" s="5">
        <v>45888</v>
      </c>
      <c r="C198" s="4" t="s">
        <v>10</v>
      </c>
      <c r="D198" s="4" t="s">
        <v>185</v>
      </c>
      <c r="E198" s="4" t="s">
        <v>203</v>
      </c>
      <c r="F198" s="6" t="s">
        <v>213</v>
      </c>
      <c r="G198" s="4">
        <v>4</v>
      </c>
      <c r="H198" s="4">
        <v>35000</v>
      </c>
      <c r="I198" s="4">
        <v>52000</v>
      </c>
      <c r="J198" s="4">
        <f t="shared" si="44"/>
        <v>140000</v>
      </c>
      <c r="K198" s="4">
        <f t="shared" si="45"/>
        <v>208000</v>
      </c>
      <c r="L198" s="4">
        <f t="shared" si="46"/>
        <v>8</v>
      </c>
      <c r="M198" s="4">
        <f t="shared" si="47"/>
        <v>68000</v>
      </c>
      <c r="N198" s="6">
        <f t="shared" si="41"/>
        <v>8</v>
      </c>
      <c r="O198" s="6">
        <f t="shared" si="42"/>
        <v>2025</v>
      </c>
      <c r="P198" s="6" t="str">
        <f t="shared" si="43"/>
        <v>Q3</v>
      </c>
      <c r="Q198" s="6" t="str">
        <f t="shared" si="48"/>
        <v>Profit</v>
      </c>
      <c r="R198" s="6" t="str">
        <f t="shared" si="40"/>
        <v>Top Seller</v>
      </c>
      <c r="S198" t="str">
        <f t="shared" si="49"/>
        <v>Pending</v>
      </c>
    </row>
    <row r="199" spans="1:20" x14ac:dyDescent="0.3">
      <c r="A199" s="4" t="s">
        <v>422</v>
      </c>
      <c r="B199" s="5">
        <v>44472</v>
      </c>
      <c r="C199" s="4" t="s">
        <v>9</v>
      </c>
      <c r="D199" s="4" t="s">
        <v>164</v>
      </c>
      <c r="E199" s="4" t="s">
        <v>199</v>
      </c>
      <c r="F199" s="6" t="s">
        <v>216</v>
      </c>
      <c r="G199" s="4">
        <v>7</v>
      </c>
      <c r="H199" s="4">
        <v>6000</v>
      </c>
      <c r="I199" s="4">
        <v>10000</v>
      </c>
      <c r="J199" s="4">
        <f t="shared" si="44"/>
        <v>42000</v>
      </c>
      <c r="K199" s="4">
        <f t="shared" si="45"/>
        <v>70000</v>
      </c>
      <c r="L199" s="4">
        <f t="shared" si="46"/>
        <v>10</v>
      </c>
      <c r="M199" s="4">
        <f t="shared" si="47"/>
        <v>28000</v>
      </c>
      <c r="N199" s="6">
        <f t="shared" si="41"/>
        <v>10</v>
      </c>
      <c r="O199" s="6">
        <f t="shared" si="42"/>
        <v>2021</v>
      </c>
      <c r="P199" s="6" t="str">
        <f t="shared" si="43"/>
        <v>Q4</v>
      </c>
      <c r="Q199" s="6" t="str">
        <f t="shared" si="48"/>
        <v>Profit</v>
      </c>
      <c r="R199" s="6" t="str">
        <f t="shared" si="40"/>
        <v>Normal</v>
      </c>
      <c r="S199" t="str">
        <f t="shared" si="49"/>
        <v>Pending</v>
      </c>
    </row>
    <row r="200" spans="1:20" x14ac:dyDescent="0.3">
      <c r="A200" s="4" t="s">
        <v>423</v>
      </c>
      <c r="B200" s="5">
        <v>44766</v>
      </c>
      <c r="C200" s="4" t="s">
        <v>12</v>
      </c>
      <c r="D200" s="4" t="s">
        <v>16</v>
      </c>
      <c r="E200" s="4" t="s">
        <v>205</v>
      </c>
      <c r="F200" s="6" t="s">
        <v>209</v>
      </c>
      <c r="G200" s="4">
        <v>3</v>
      </c>
      <c r="H200" s="4">
        <v>6000</v>
      </c>
      <c r="I200" s="4">
        <v>10000</v>
      </c>
      <c r="J200" s="4">
        <f t="shared" si="44"/>
        <v>18000</v>
      </c>
      <c r="K200" s="4">
        <f t="shared" si="45"/>
        <v>30000</v>
      </c>
      <c r="L200" s="4">
        <f t="shared" si="46"/>
        <v>7</v>
      </c>
      <c r="M200" s="4">
        <f t="shared" si="47"/>
        <v>12000</v>
      </c>
      <c r="N200" s="6">
        <f t="shared" si="41"/>
        <v>7</v>
      </c>
      <c r="O200" s="6">
        <f t="shared" si="42"/>
        <v>2022</v>
      </c>
      <c r="P200" s="6" t="str">
        <f t="shared" si="43"/>
        <v>Q3</v>
      </c>
      <c r="Q200" s="6" t="str">
        <f t="shared" si="48"/>
        <v>Profit</v>
      </c>
      <c r="R200" s="6" t="str">
        <f t="shared" si="40"/>
        <v>Top Seller</v>
      </c>
      <c r="S200" t="str">
        <f t="shared" si="49"/>
        <v>Pending</v>
      </c>
    </row>
    <row r="201" spans="1:20" x14ac:dyDescent="0.3">
      <c r="A201" s="4" t="s">
        <v>424</v>
      </c>
      <c r="B201" s="5">
        <v>45795</v>
      </c>
      <c r="C201" s="4" t="s">
        <v>10</v>
      </c>
      <c r="D201" s="4" t="s">
        <v>156</v>
      </c>
      <c r="E201" s="4" t="s">
        <v>201</v>
      </c>
      <c r="F201" s="6" t="s">
        <v>209</v>
      </c>
      <c r="G201" s="4">
        <v>4</v>
      </c>
      <c r="H201" s="4">
        <v>20000</v>
      </c>
      <c r="I201" s="4">
        <v>30000</v>
      </c>
      <c r="J201" s="4">
        <f t="shared" si="44"/>
        <v>80000</v>
      </c>
      <c r="K201" s="4">
        <f t="shared" si="45"/>
        <v>120000</v>
      </c>
      <c r="L201" s="4">
        <f t="shared" si="46"/>
        <v>5</v>
      </c>
      <c r="M201" s="4">
        <f t="shared" si="47"/>
        <v>40000</v>
      </c>
      <c r="N201" s="6">
        <f t="shared" si="41"/>
        <v>5</v>
      </c>
      <c r="O201" s="6">
        <f t="shared" si="42"/>
        <v>2025</v>
      </c>
      <c r="P201" s="6" t="str">
        <f t="shared" si="43"/>
        <v>Q2</v>
      </c>
      <c r="Q201" s="6" t="str">
        <f t="shared" si="48"/>
        <v>Profit</v>
      </c>
      <c r="R201" s="6" t="str">
        <f t="shared" si="40"/>
        <v>Normal</v>
      </c>
      <c r="S201" t="str">
        <f t="shared" si="49"/>
        <v>Pending</v>
      </c>
    </row>
    <row r="202" spans="1:20" x14ac:dyDescent="0.3">
      <c r="D202" s="1"/>
    </row>
    <row r="203" spans="1:20" x14ac:dyDescent="0.3">
      <c r="D203" s="1"/>
    </row>
    <row r="204" spans="1:20" x14ac:dyDescent="0.3">
      <c r="D204" s="1"/>
    </row>
    <row r="205" spans="1:20" x14ac:dyDescent="0.3">
      <c r="D205" s="1"/>
    </row>
    <row r="206" spans="1:20" x14ac:dyDescent="0.3">
      <c r="D206" s="1"/>
      <c r="G206" s="26" t="s">
        <v>4</v>
      </c>
      <c r="H206" s="26" t="s">
        <v>429</v>
      </c>
      <c r="K206" s="22" t="s">
        <v>2</v>
      </c>
      <c r="L206" s="22" t="s">
        <v>428</v>
      </c>
      <c r="P206" s="21" t="s">
        <v>436</v>
      </c>
      <c r="Q206" s="25">
        <f>COUNTIF(M2:M201,"&lt;0")</f>
        <v>0</v>
      </c>
      <c r="S206" s="22" t="s">
        <v>4</v>
      </c>
      <c r="T206" s="22" t="s">
        <v>430</v>
      </c>
    </row>
    <row r="207" spans="1:20" x14ac:dyDescent="0.3">
      <c r="D207" s="1"/>
      <c r="G207" s="20" t="s">
        <v>208</v>
      </c>
      <c r="H207" s="20">
        <f>AVERAGEIF(F2:F201,G207,I2:I201)</f>
        <v>25705.882352941175</v>
      </c>
      <c r="K207" s="6" t="s">
        <v>11</v>
      </c>
      <c r="L207" s="28">
        <f>SUMIF(C2:C200,K207,K2:K201)</f>
        <v>6133000</v>
      </c>
      <c r="P207" s="24"/>
      <c r="Q207" s="24"/>
      <c r="S207" s="6" t="s">
        <v>209</v>
      </c>
      <c r="T207" s="6" t="s">
        <v>10</v>
      </c>
    </row>
    <row r="208" spans="1:20" x14ac:dyDescent="0.3">
      <c r="D208" s="1"/>
    </row>
    <row r="209" spans="4:11" x14ac:dyDescent="0.3">
      <c r="D209" s="1"/>
    </row>
    <row r="210" spans="4:11" x14ac:dyDescent="0.3">
      <c r="D210" s="1"/>
      <c r="G210" s="23" t="s">
        <v>431</v>
      </c>
      <c r="K210" s="19"/>
    </row>
    <row r="211" spans="4:11" x14ac:dyDescent="0.3">
      <c r="D211" s="1"/>
      <c r="G211" s="20"/>
    </row>
    <row r="212" spans="4:11" x14ac:dyDescent="0.3">
      <c r="D212" s="1"/>
    </row>
    <row r="213" spans="4:11" x14ac:dyDescent="0.3">
      <c r="D213" s="1"/>
    </row>
    <row r="214" spans="4:11" x14ac:dyDescent="0.3">
      <c r="D214" s="1"/>
    </row>
    <row r="215" spans="4:11" x14ac:dyDescent="0.3">
      <c r="D215" s="1"/>
      <c r="F215" s="7"/>
      <c r="G215" s="8"/>
      <c r="H215" s="9"/>
    </row>
    <row r="216" spans="4:11" x14ac:dyDescent="0.3">
      <c r="D216" s="1"/>
      <c r="F216" s="10"/>
      <c r="G216" s="11"/>
      <c r="H216" s="12"/>
    </row>
    <row r="217" spans="4:11" x14ac:dyDescent="0.3">
      <c r="D217" s="1"/>
      <c r="F217" s="10"/>
      <c r="G217" s="11"/>
      <c r="H217" s="12"/>
    </row>
    <row r="218" spans="4:11" x14ac:dyDescent="0.3">
      <c r="D218" s="1"/>
      <c r="F218" s="10"/>
      <c r="G218" s="11"/>
      <c r="H218" s="12"/>
    </row>
    <row r="219" spans="4:11" x14ac:dyDescent="0.3">
      <c r="D219" s="1"/>
      <c r="F219" s="10"/>
      <c r="G219" s="11"/>
      <c r="H219" s="12"/>
    </row>
    <row r="220" spans="4:11" x14ac:dyDescent="0.3">
      <c r="D220" s="1"/>
      <c r="F220" s="10"/>
      <c r="G220" s="11"/>
      <c r="H220" s="12"/>
    </row>
    <row r="221" spans="4:11" x14ac:dyDescent="0.3">
      <c r="D221" s="1"/>
      <c r="F221" s="10"/>
      <c r="G221" s="11"/>
      <c r="H221" s="12"/>
    </row>
    <row r="222" spans="4:11" x14ac:dyDescent="0.3">
      <c r="D222" s="1"/>
      <c r="F222" s="10"/>
      <c r="G222" s="11"/>
      <c r="H222" s="12"/>
    </row>
    <row r="223" spans="4:11" x14ac:dyDescent="0.3">
      <c r="D223" s="1"/>
      <c r="F223" s="10"/>
      <c r="G223" s="11"/>
      <c r="H223" s="12"/>
    </row>
    <row r="224" spans="4:11" x14ac:dyDescent="0.3">
      <c r="D224" s="1"/>
      <c r="F224" s="10"/>
      <c r="G224" s="11"/>
      <c r="H224" s="12"/>
    </row>
    <row r="225" spans="4:8" x14ac:dyDescent="0.3">
      <c r="D225" s="1"/>
      <c r="F225" s="10"/>
      <c r="G225" s="11"/>
      <c r="H225" s="12"/>
    </row>
    <row r="226" spans="4:8" x14ac:dyDescent="0.3">
      <c r="D226" s="1"/>
      <c r="F226" s="10"/>
      <c r="G226" s="11"/>
      <c r="H226" s="12"/>
    </row>
    <row r="227" spans="4:8" x14ac:dyDescent="0.3">
      <c r="D227" s="1"/>
      <c r="F227" s="10"/>
      <c r="G227" s="11"/>
      <c r="H227" s="12"/>
    </row>
    <row r="228" spans="4:8" x14ac:dyDescent="0.3">
      <c r="D228" s="1"/>
      <c r="F228" s="10"/>
      <c r="G228" s="11"/>
      <c r="H228" s="12"/>
    </row>
    <row r="229" spans="4:8" x14ac:dyDescent="0.3">
      <c r="F229" s="10"/>
      <c r="G229" s="11"/>
      <c r="H229" s="12"/>
    </row>
    <row r="230" spans="4:8" x14ac:dyDescent="0.3">
      <c r="F230" s="10"/>
      <c r="G230" s="11"/>
      <c r="H230" s="12"/>
    </row>
    <row r="231" spans="4:8" x14ac:dyDescent="0.3">
      <c r="F231" s="10"/>
      <c r="G231" s="11"/>
      <c r="H231" s="12"/>
    </row>
    <row r="232" spans="4:8" x14ac:dyDescent="0.3">
      <c r="F232" s="13"/>
      <c r="G232" s="14"/>
      <c r="H232" s="15"/>
    </row>
  </sheetData>
  <conditionalFormatting sqref="M2:M206 M208:M1048576">
    <cfRule type="cellIs" dxfId="3" priority="7" operator="greaterThan">
      <formula>0</formula>
    </cfRule>
  </conditionalFormatting>
  <conditionalFormatting sqref="M200">
    <cfRule type="cellIs" dxfId="2" priority="6" operator="greaterThan">
      <formula>10000</formula>
    </cfRule>
  </conditionalFormatting>
  <conditionalFormatting sqref="K2:L201">
    <cfRule type="dataBar" priority="4">
      <dataBar>
        <cfvo type="min"/>
        <cfvo type="max"/>
        <color rgb="FFFF555A"/>
      </dataBar>
      <extLst>
        <ext xmlns:x14="http://schemas.microsoft.com/office/spreadsheetml/2009/9/main" uri="{B025F937-C7B1-47D3-B67F-A62EFF666E3E}">
          <x14:id>{BA110DD2-E1BD-4896-A93C-F156B7FB37DB}</x14:id>
        </ext>
      </extLst>
    </cfRule>
    <cfRule type="top10" dxfId="1" priority="5" rank="5"/>
  </conditionalFormatting>
  <conditionalFormatting sqref="Q207">
    <cfRule type="cellIs" dxfId="0" priority="2" operator="greaterThan">
      <formula>0</formula>
    </cfRule>
  </conditionalFormatting>
  <dataValidations count="5">
    <dataValidation type="list" allowBlank="1" showInputMessage="1" showErrorMessage="1" sqref="K207">
      <formula1>C2:C200</formula1>
    </dataValidation>
    <dataValidation type="list" allowBlank="1" showInputMessage="1" showErrorMessage="1" sqref="I206 T207">
      <formula1>$C$2:$C$200</formula1>
    </dataValidation>
    <dataValidation type="list" allowBlank="1" showInputMessage="1" showErrorMessage="1" sqref="G207 S207">
      <formula1>$F$2:$F$201</formula1>
    </dataValidation>
    <dataValidation type="whole" allowBlank="1" showInputMessage="1" showErrorMessage="1" sqref="H209">
      <formula1>G2</formula1>
      <formula2>0</formula2>
    </dataValidation>
    <dataValidation type="whole" operator="greaterThan" allowBlank="1" showInputMessage="1" showErrorMessage="1" errorTitle="Invaild Entry" error="Please enter a number greater than 0" promptTitle="Enter Units Sold" prompt="Must be a number greater than 0" sqref="G211">
      <formula1>0</formula1>
    </dataValidation>
  </dataValidations>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x14:cfRule type="dataBar" id="{BA110DD2-E1BD-4896-A93C-F156B7FB37DB}">
            <x14:dataBar minLength="0" maxLength="100" border="1" negativeBarBorderColorSameAsPositive="0">
              <x14:cfvo type="autoMin"/>
              <x14:cfvo type="autoMax"/>
              <x14:borderColor rgb="FFFF555A"/>
              <x14:negativeFillColor rgb="FFFF0000"/>
              <x14:negativeBorderColor rgb="FFFF0000"/>
              <x14:axisColor rgb="FF000000"/>
            </x14:dataBar>
          </x14:cfRule>
          <xm:sqref>K2:L201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7"/>
  <sheetViews>
    <sheetView tabSelected="1" workbookViewId="0"/>
  </sheetViews>
  <sheetFormatPr defaultRowHeight="14.4" x14ac:dyDescent="0.3"/>
  <sheetData>
    <row r="7" spans="18:18" x14ac:dyDescent="0.3">
      <c r="R7" t="s">
        <v>438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C35" sqref="C35"/>
    </sheetView>
  </sheetViews>
  <sheetFormatPr defaultRowHeight="14.4" x14ac:dyDescent="0.3"/>
  <cols>
    <col min="1" max="1" width="12.5546875" customWidth="1"/>
    <col min="2" max="2" width="14.88671875" customWidth="1"/>
    <col min="3" max="13" width="7" bestFit="1" customWidth="1"/>
    <col min="14" max="14" width="10.77734375" bestFit="1" customWidth="1"/>
  </cols>
  <sheetData>
    <row r="3" spans="1:2" x14ac:dyDescent="0.3">
      <c r="A3" s="17" t="s">
        <v>427</v>
      </c>
      <c r="B3" t="s">
        <v>425</v>
      </c>
    </row>
    <row r="4" spans="1:2" x14ac:dyDescent="0.3">
      <c r="A4" s="18">
        <v>1</v>
      </c>
      <c r="B4" s="16">
        <v>2364000</v>
      </c>
    </row>
    <row r="5" spans="1:2" x14ac:dyDescent="0.3">
      <c r="A5" s="18">
        <v>2</v>
      </c>
      <c r="B5" s="16">
        <v>938000</v>
      </c>
    </row>
    <row r="6" spans="1:2" x14ac:dyDescent="0.3">
      <c r="A6" s="18">
        <v>3</v>
      </c>
      <c r="B6" s="16">
        <v>2473000</v>
      </c>
    </row>
    <row r="7" spans="1:2" x14ac:dyDescent="0.3">
      <c r="A7" s="18">
        <v>4</v>
      </c>
      <c r="B7" s="16">
        <v>2226000</v>
      </c>
    </row>
    <row r="8" spans="1:2" x14ac:dyDescent="0.3">
      <c r="A8" s="18">
        <v>5</v>
      </c>
      <c r="B8" s="16">
        <v>1740000</v>
      </c>
    </row>
    <row r="9" spans="1:2" x14ac:dyDescent="0.3">
      <c r="A9" s="18">
        <v>6</v>
      </c>
      <c r="B9" s="16">
        <v>3217000</v>
      </c>
    </row>
    <row r="10" spans="1:2" x14ac:dyDescent="0.3">
      <c r="A10" s="18">
        <v>7</v>
      </c>
      <c r="B10" s="16">
        <v>1422000</v>
      </c>
    </row>
    <row r="11" spans="1:2" x14ac:dyDescent="0.3">
      <c r="A11" s="18">
        <v>8</v>
      </c>
      <c r="B11" s="16">
        <v>2705000</v>
      </c>
    </row>
    <row r="12" spans="1:2" x14ac:dyDescent="0.3">
      <c r="A12" s="18">
        <v>9</v>
      </c>
      <c r="B12" s="16">
        <v>2048000</v>
      </c>
    </row>
    <row r="13" spans="1:2" x14ac:dyDescent="0.3">
      <c r="A13" s="18">
        <v>10</v>
      </c>
      <c r="B13" s="16">
        <v>2616000</v>
      </c>
    </row>
    <row r="14" spans="1:2" x14ac:dyDescent="0.3">
      <c r="A14" s="18">
        <v>11</v>
      </c>
      <c r="B14" s="16">
        <v>1012000</v>
      </c>
    </row>
    <row r="15" spans="1:2" x14ac:dyDescent="0.3">
      <c r="A15" s="18">
        <v>12</v>
      </c>
      <c r="B15" s="16">
        <v>1683000</v>
      </c>
    </row>
    <row r="16" spans="1:2" x14ac:dyDescent="0.3">
      <c r="A16" s="18" t="s">
        <v>426</v>
      </c>
      <c r="B16" s="16">
        <v>24444000</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'Line Chart'!D14</xm:f>
              <xm:sqref>E3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topLeftCell="A8" workbookViewId="0">
      <selection activeCell="F35" sqref="F35:F40"/>
    </sheetView>
  </sheetViews>
  <sheetFormatPr defaultRowHeight="14.4" x14ac:dyDescent="0.3"/>
  <cols>
    <col min="1" max="1" width="12.6640625" customWidth="1"/>
    <col min="2" max="2" width="16.44140625" customWidth="1"/>
  </cols>
  <sheetData>
    <row r="3" spans="1:2" x14ac:dyDescent="0.3">
      <c r="A3" s="17" t="s">
        <v>427</v>
      </c>
      <c r="B3" t="s">
        <v>435</v>
      </c>
    </row>
    <row r="4" spans="1:2" x14ac:dyDescent="0.3">
      <c r="A4" s="18" t="s">
        <v>210</v>
      </c>
      <c r="B4" s="16">
        <v>9</v>
      </c>
    </row>
    <row r="5" spans="1:2" x14ac:dyDescent="0.3">
      <c r="A5" s="18" t="s">
        <v>217</v>
      </c>
      <c r="B5" s="16">
        <v>9</v>
      </c>
    </row>
    <row r="6" spans="1:2" x14ac:dyDescent="0.3">
      <c r="A6" s="18" t="s">
        <v>208</v>
      </c>
      <c r="B6" s="16">
        <v>17</v>
      </c>
    </row>
    <row r="7" spans="1:2" x14ac:dyDescent="0.3">
      <c r="A7" s="18" t="s">
        <v>207</v>
      </c>
      <c r="B7" s="16">
        <v>32</v>
      </c>
    </row>
    <row r="8" spans="1:2" x14ac:dyDescent="0.3">
      <c r="A8" s="18" t="s">
        <v>216</v>
      </c>
      <c r="B8" s="16">
        <v>9</v>
      </c>
    </row>
    <row r="9" spans="1:2" x14ac:dyDescent="0.3">
      <c r="A9" s="18" t="s">
        <v>206</v>
      </c>
      <c r="B9" s="16">
        <v>12</v>
      </c>
    </row>
    <row r="10" spans="1:2" x14ac:dyDescent="0.3">
      <c r="A10" s="18" t="s">
        <v>213</v>
      </c>
      <c r="B10" s="16">
        <v>6</v>
      </c>
    </row>
    <row r="11" spans="1:2" x14ac:dyDescent="0.3">
      <c r="A11" s="18" t="s">
        <v>215</v>
      </c>
      <c r="B11" s="16">
        <v>9</v>
      </c>
    </row>
    <row r="12" spans="1:2" x14ac:dyDescent="0.3">
      <c r="A12" s="18" t="s">
        <v>214</v>
      </c>
      <c r="B12" s="16">
        <v>26</v>
      </c>
    </row>
    <row r="13" spans="1:2" x14ac:dyDescent="0.3">
      <c r="A13" s="18" t="s">
        <v>209</v>
      </c>
      <c r="B13" s="16">
        <v>37</v>
      </c>
    </row>
    <row r="14" spans="1:2" x14ac:dyDescent="0.3">
      <c r="A14" s="18" t="s">
        <v>211</v>
      </c>
      <c r="B14" s="16">
        <v>15</v>
      </c>
    </row>
    <row r="15" spans="1:2" x14ac:dyDescent="0.3">
      <c r="A15" s="18" t="s">
        <v>212</v>
      </c>
      <c r="B15" s="16">
        <v>18</v>
      </c>
    </row>
    <row r="16" spans="1:2" x14ac:dyDescent="0.3">
      <c r="A16" s="18" t="s">
        <v>434</v>
      </c>
      <c r="B16" s="16">
        <v>1</v>
      </c>
    </row>
    <row r="17" spans="1:2" x14ac:dyDescent="0.3">
      <c r="A17" s="18" t="s">
        <v>426</v>
      </c>
      <c r="B17" s="16">
        <v>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E35" sqref="E35"/>
    </sheetView>
  </sheetViews>
  <sheetFormatPr defaultRowHeight="14.4" x14ac:dyDescent="0.3"/>
  <cols>
    <col min="1" max="1" width="12.5546875" customWidth="1"/>
    <col min="2" max="2" width="17.6640625" customWidth="1"/>
    <col min="3" max="10" width="2" customWidth="1"/>
    <col min="11" max="11" width="3" customWidth="1"/>
    <col min="12" max="12" width="10.77734375" customWidth="1"/>
    <col min="13" max="17" width="6" customWidth="1"/>
    <col min="18" max="18" width="6.6640625" customWidth="1"/>
    <col min="19" max="23" width="6" customWidth="1"/>
    <col min="24" max="24" width="6.6640625" customWidth="1"/>
    <col min="25" max="28" width="6" customWidth="1"/>
    <col min="29" max="29" width="6.6640625" customWidth="1"/>
    <col min="30" max="33" width="6" customWidth="1"/>
    <col min="34" max="34" width="6.6640625" customWidth="1"/>
    <col min="35" max="38" width="6" customWidth="1"/>
    <col min="39" max="39" width="6.6640625" customWidth="1"/>
    <col min="40" max="44" width="6" customWidth="1"/>
    <col min="45" max="45" width="6.6640625" customWidth="1"/>
    <col min="46" max="50" width="6" customWidth="1"/>
    <col min="51" max="51" width="6.6640625" customWidth="1"/>
    <col min="52" max="56" width="6" customWidth="1"/>
    <col min="57" max="57" width="7.6640625" customWidth="1"/>
    <col min="58" max="62" width="6" customWidth="1"/>
    <col min="63" max="63" width="7.6640625" customWidth="1"/>
    <col min="64" max="67" width="6" customWidth="1"/>
    <col min="68" max="68" width="7.6640625" customWidth="1"/>
    <col min="69" max="69" width="10.77734375" bestFit="1" customWidth="1"/>
  </cols>
  <sheetData>
    <row r="3" spans="1:2" x14ac:dyDescent="0.3">
      <c r="A3" s="17" t="s">
        <v>427</v>
      </c>
      <c r="B3" t="s">
        <v>432</v>
      </c>
    </row>
    <row r="4" spans="1:2" x14ac:dyDescent="0.3">
      <c r="A4" s="18">
        <v>1</v>
      </c>
      <c r="B4" s="16">
        <v>428000</v>
      </c>
    </row>
    <row r="5" spans="1:2" x14ac:dyDescent="0.3">
      <c r="A5" s="18">
        <v>2</v>
      </c>
      <c r="B5" s="16">
        <v>233000</v>
      </c>
    </row>
    <row r="6" spans="1:2" x14ac:dyDescent="0.3">
      <c r="A6" s="18">
        <v>3</v>
      </c>
      <c r="B6" s="16">
        <v>379000</v>
      </c>
    </row>
    <row r="7" spans="1:2" x14ac:dyDescent="0.3">
      <c r="A7" s="18">
        <v>4</v>
      </c>
      <c r="B7" s="16">
        <v>521000</v>
      </c>
    </row>
    <row r="8" spans="1:2" x14ac:dyDescent="0.3">
      <c r="A8" s="18">
        <v>5</v>
      </c>
      <c r="B8" s="16">
        <v>390000</v>
      </c>
    </row>
    <row r="9" spans="1:2" x14ac:dyDescent="0.3">
      <c r="A9" s="18">
        <v>6</v>
      </c>
      <c r="B9" s="16">
        <v>563000</v>
      </c>
    </row>
    <row r="10" spans="1:2" x14ac:dyDescent="0.3">
      <c r="A10" s="18">
        <v>7</v>
      </c>
      <c r="B10" s="16">
        <v>294000</v>
      </c>
    </row>
    <row r="11" spans="1:2" x14ac:dyDescent="0.3">
      <c r="A11" s="18">
        <v>8</v>
      </c>
      <c r="B11" s="16">
        <v>551000</v>
      </c>
    </row>
    <row r="12" spans="1:2" x14ac:dyDescent="0.3">
      <c r="A12" s="18">
        <v>9</v>
      </c>
      <c r="B12" s="16">
        <v>360000</v>
      </c>
    </row>
    <row r="13" spans="1:2" x14ac:dyDescent="0.3">
      <c r="A13" s="18">
        <v>10</v>
      </c>
      <c r="B13" s="16">
        <v>497000</v>
      </c>
    </row>
    <row r="14" spans="1:2" x14ac:dyDescent="0.3">
      <c r="A14" s="18">
        <v>11</v>
      </c>
      <c r="B14" s="16">
        <v>256000</v>
      </c>
    </row>
    <row r="15" spans="1:2" x14ac:dyDescent="0.3">
      <c r="A15" s="18">
        <v>12</v>
      </c>
      <c r="B15" s="16">
        <v>311000</v>
      </c>
    </row>
    <row r="16" spans="1:2" x14ac:dyDescent="0.3">
      <c r="A16" s="18" t="s">
        <v>426</v>
      </c>
      <c r="B16" s="16">
        <v>4783000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11" sqref="A11"/>
    </sheetView>
  </sheetViews>
  <sheetFormatPr defaultRowHeight="14.4" x14ac:dyDescent="0.3"/>
  <cols>
    <col min="1" max="1" width="12.5546875" bestFit="1" customWidth="1"/>
    <col min="2" max="2" width="17.6640625" bestFit="1" customWidth="1"/>
  </cols>
  <sheetData>
    <row r="3" spans="1:2" x14ac:dyDescent="0.3">
      <c r="A3" s="17" t="s">
        <v>427</v>
      </c>
      <c r="B3" t="s">
        <v>432</v>
      </c>
    </row>
    <row r="4" spans="1:2" x14ac:dyDescent="0.3">
      <c r="A4" s="18" t="s">
        <v>12</v>
      </c>
      <c r="B4" s="16">
        <v>1295000</v>
      </c>
    </row>
    <row r="5" spans="1:2" x14ac:dyDescent="0.3">
      <c r="A5" s="18" t="s">
        <v>10</v>
      </c>
      <c r="B5" s="16">
        <v>1333000</v>
      </c>
    </row>
    <row r="6" spans="1:2" x14ac:dyDescent="0.3">
      <c r="A6" s="18" t="s">
        <v>9</v>
      </c>
      <c r="B6" s="16">
        <v>1050000</v>
      </c>
    </row>
    <row r="7" spans="1:2" x14ac:dyDescent="0.3">
      <c r="A7" s="18" t="s">
        <v>11</v>
      </c>
      <c r="B7" s="16">
        <v>1075000</v>
      </c>
    </row>
    <row r="8" spans="1:2" x14ac:dyDescent="0.3">
      <c r="A8" s="18" t="s">
        <v>433</v>
      </c>
      <c r="B8" s="16">
        <v>30000</v>
      </c>
    </row>
    <row r="9" spans="1:2" x14ac:dyDescent="0.3">
      <c r="A9" s="18" t="s">
        <v>426</v>
      </c>
      <c r="B9" s="16">
        <v>4783000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G22" sqref="G22"/>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9" sqref="A4:A15"/>
    </sheetView>
  </sheetViews>
  <sheetFormatPr defaultRowHeight="14.4" x14ac:dyDescent="0.3"/>
  <cols>
    <col min="1" max="1" width="12.5546875" bestFit="1" customWidth="1"/>
    <col min="2" max="2" width="12.109375" bestFit="1" customWidth="1"/>
  </cols>
  <sheetData>
    <row r="3" spans="1:2" x14ac:dyDescent="0.3">
      <c r="A3" s="17" t="s">
        <v>427</v>
      </c>
      <c r="B3" t="s">
        <v>437</v>
      </c>
    </row>
    <row r="4" spans="1:2" x14ac:dyDescent="0.3">
      <c r="A4" s="18">
        <v>1</v>
      </c>
      <c r="B4" s="16">
        <v>805000</v>
      </c>
    </row>
    <row r="5" spans="1:2" x14ac:dyDescent="0.3">
      <c r="A5" s="18">
        <v>2</v>
      </c>
      <c r="B5" s="16">
        <v>338000</v>
      </c>
    </row>
    <row r="6" spans="1:2" x14ac:dyDescent="0.3">
      <c r="A6" s="18">
        <v>3</v>
      </c>
      <c r="B6" s="16">
        <v>818500</v>
      </c>
    </row>
    <row r="7" spans="1:2" x14ac:dyDescent="0.3">
      <c r="A7" s="18">
        <v>4</v>
      </c>
      <c r="B7" s="16">
        <v>773000</v>
      </c>
    </row>
    <row r="8" spans="1:2" x14ac:dyDescent="0.3">
      <c r="A8" s="18">
        <v>5</v>
      </c>
      <c r="B8" s="16">
        <v>591000</v>
      </c>
    </row>
    <row r="9" spans="1:2" x14ac:dyDescent="0.3">
      <c r="A9" s="18">
        <v>6</v>
      </c>
      <c r="B9" s="16">
        <v>1079500</v>
      </c>
    </row>
    <row r="10" spans="1:2" x14ac:dyDescent="0.3">
      <c r="A10" s="18">
        <v>7</v>
      </c>
      <c r="B10" s="16">
        <v>491000</v>
      </c>
    </row>
    <row r="11" spans="1:2" x14ac:dyDescent="0.3">
      <c r="A11" s="18">
        <v>8</v>
      </c>
      <c r="B11" s="16">
        <v>915500</v>
      </c>
    </row>
    <row r="12" spans="1:2" x14ac:dyDescent="0.3">
      <c r="A12" s="18">
        <v>9</v>
      </c>
      <c r="B12" s="16">
        <v>696000</v>
      </c>
    </row>
    <row r="13" spans="1:2" x14ac:dyDescent="0.3">
      <c r="A13" s="18">
        <v>10</v>
      </c>
      <c r="B13" s="16">
        <v>880000</v>
      </c>
    </row>
    <row r="14" spans="1:2" x14ac:dyDescent="0.3">
      <c r="A14" s="18">
        <v>11</v>
      </c>
      <c r="B14" s="16">
        <v>353000</v>
      </c>
    </row>
    <row r="15" spans="1:2" x14ac:dyDescent="0.3">
      <c r="A15" s="18">
        <v>12</v>
      </c>
      <c r="B15" s="16">
        <v>563500</v>
      </c>
    </row>
    <row r="16" spans="1:2" x14ac:dyDescent="0.3">
      <c r="A16" s="18" t="s">
        <v>426</v>
      </c>
      <c r="B16" s="16">
        <v>8304000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7"/>
  <sheetViews>
    <sheetView zoomScale="70" zoomScaleNormal="70" workbookViewId="0">
      <selection activeCell="C6" sqref="C6"/>
    </sheetView>
  </sheetViews>
  <sheetFormatPr defaultRowHeight="14.4" x14ac:dyDescent="0.3"/>
  <cols>
    <col min="1" max="1" width="15.6640625" customWidth="1"/>
    <col min="2" max="2" width="19.44140625" bestFit="1" customWidth="1"/>
    <col min="3" max="3" width="19.109375" bestFit="1" customWidth="1"/>
    <col min="4" max="4" width="21.88671875" bestFit="1" customWidth="1"/>
  </cols>
  <sheetData>
    <row r="3" spans="1:11" x14ac:dyDescent="0.3">
      <c r="A3" s="17" t="s">
        <v>427</v>
      </c>
      <c r="B3" t="s">
        <v>439</v>
      </c>
      <c r="C3" t="s">
        <v>446</v>
      </c>
    </row>
    <row r="4" spans="1:11" x14ac:dyDescent="0.3">
      <c r="A4" s="18" t="s">
        <v>210</v>
      </c>
      <c r="B4" s="16">
        <v>62</v>
      </c>
      <c r="C4" s="16">
        <v>783000</v>
      </c>
    </row>
    <row r="5" spans="1:11" x14ac:dyDescent="0.3">
      <c r="A5" s="18" t="s">
        <v>217</v>
      </c>
      <c r="B5" s="16">
        <v>44</v>
      </c>
      <c r="C5" s="16">
        <v>481000</v>
      </c>
    </row>
    <row r="6" spans="1:11" x14ac:dyDescent="0.3">
      <c r="A6" s="18" t="s">
        <v>208</v>
      </c>
      <c r="B6" s="16">
        <v>90</v>
      </c>
      <c r="C6" s="16">
        <v>1705500</v>
      </c>
    </row>
    <row r="7" spans="1:11" x14ac:dyDescent="0.3">
      <c r="A7" s="18" t="s">
        <v>207</v>
      </c>
      <c r="B7" s="16">
        <v>148</v>
      </c>
      <c r="C7" s="16">
        <v>2012500</v>
      </c>
    </row>
    <row r="8" spans="1:11" x14ac:dyDescent="0.3">
      <c r="A8" s="18" t="s">
        <v>216</v>
      </c>
      <c r="B8" s="16">
        <v>33</v>
      </c>
      <c r="C8" s="16">
        <v>460500</v>
      </c>
    </row>
    <row r="9" spans="1:11" x14ac:dyDescent="0.3">
      <c r="A9" s="18" t="s">
        <v>206</v>
      </c>
      <c r="B9" s="16">
        <v>62</v>
      </c>
      <c r="C9" s="16">
        <v>928000</v>
      </c>
    </row>
    <row r="10" spans="1:11" x14ac:dyDescent="0.3">
      <c r="A10" s="18" t="s">
        <v>213</v>
      </c>
      <c r="B10" s="16">
        <v>22</v>
      </c>
      <c r="C10" s="16">
        <v>322000</v>
      </c>
    </row>
    <row r="11" spans="1:11" x14ac:dyDescent="0.3">
      <c r="A11" s="18" t="s">
        <v>215</v>
      </c>
      <c r="B11" s="16">
        <v>49</v>
      </c>
      <c r="C11" s="16">
        <v>1023500</v>
      </c>
    </row>
    <row r="12" spans="1:11" x14ac:dyDescent="0.3">
      <c r="A12" s="18" t="s">
        <v>214</v>
      </c>
      <c r="B12" s="16">
        <v>130</v>
      </c>
      <c r="C12" s="16">
        <v>2078000</v>
      </c>
    </row>
    <row r="13" spans="1:11" x14ac:dyDescent="0.3">
      <c r="A13" s="18" t="s">
        <v>209</v>
      </c>
      <c r="B13" s="16">
        <v>181</v>
      </c>
      <c r="C13" s="16">
        <v>2537000</v>
      </c>
      <c r="H13" s="30"/>
      <c r="I13" s="30"/>
      <c r="J13" s="30"/>
      <c r="K13" s="30"/>
    </row>
    <row r="14" spans="1:11" x14ac:dyDescent="0.3">
      <c r="A14" s="18" t="s">
        <v>211</v>
      </c>
      <c r="B14" s="16">
        <v>85</v>
      </c>
      <c r="C14" s="16">
        <v>2095000</v>
      </c>
      <c r="H14" s="30" t="s">
        <v>447</v>
      </c>
      <c r="I14" s="30"/>
      <c r="J14" s="30"/>
      <c r="K14" s="30"/>
    </row>
    <row r="15" spans="1:11" x14ac:dyDescent="0.3">
      <c r="A15" s="18" t="s">
        <v>212</v>
      </c>
      <c r="B15" s="16">
        <v>102</v>
      </c>
      <c r="C15" s="16">
        <v>1634000</v>
      </c>
      <c r="H15" s="30" t="s">
        <v>440</v>
      </c>
      <c r="I15" s="30"/>
      <c r="J15" s="30"/>
      <c r="K15" s="30"/>
    </row>
    <row r="16" spans="1:11" x14ac:dyDescent="0.3">
      <c r="A16" s="18" t="s">
        <v>434</v>
      </c>
      <c r="B16" s="16">
        <v>4</v>
      </c>
      <c r="C16" s="16">
        <v>80000</v>
      </c>
    </row>
    <row r="17" spans="1:3" x14ac:dyDescent="0.3">
      <c r="A17" s="18" t="s">
        <v>426</v>
      </c>
      <c r="B17" s="16">
        <v>1012</v>
      </c>
      <c r="C17" s="16">
        <v>16140000</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7"/>
  <sheetViews>
    <sheetView workbookViewId="0">
      <selection activeCell="B13" sqref="B13"/>
    </sheetView>
  </sheetViews>
  <sheetFormatPr defaultRowHeight="14.4" x14ac:dyDescent="0.3"/>
  <cols>
    <col min="1" max="1" width="12.5546875" bestFit="1" customWidth="1"/>
    <col min="2" max="2" width="17.6640625" bestFit="1" customWidth="1"/>
  </cols>
  <sheetData>
    <row r="3" spans="1:2" x14ac:dyDescent="0.3">
      <c r="A3" s="17" t="s">
        <v>427</v>
      </c>
      <c r="B3" t="s">
        <v>432</v>
      </c>
    </row>
    <row r="4" spans="1:2" x14ac:dyDescent="0.3">
      <c r="A4" s="31">
        <v>45673</v>
      </c>
      <c r="B4" s="16">
        <v>3000</v>
      </c>
    </row>
    <row r="5" spans="1:2" x14ac:dyDescent="0.3">
      <c r="A5" s="31">
        <v>45686</v>
      </c>
      <c r="B5" s="16">
        <v>6000</v>
      </c>
    </row>
    <row r="6" spans="1:2" x14ac:dyDescent="0.3">
      <c r="A6" s="31">
        <v>45708</v>
      </c>
      <c r="B6" s="16">
        <v>3000</v>
      </c>
    </row>
    <row r="7" spans="1:2" x14ac:dyDescent="0.3">
      <c r="A7" s="31">
        <v>45721</v>
      </c>
      <c r="B7" s="16">
        <v>82000</v>
      </c>
    </row>
    <row r="8" spans="1:2" x14ac:dyDescent="0.3">
      <c r="A8" s="31">
        <v>45750</v>
      </c>
      <c r="B8" s="16">
        <v>10000</v>
      </c>
    </row>
    <row r="9" spans="1:2" x14ac:dyDescent="0.3">
      <c r="A9" s="31">
        <v>45761</v>
      </c>
      <c r="B9" s="16">
        <v>52000</v>
      </c>
    </row>
    <row r="10" spans="1:2" x14ac:dyDescent="0.3">
      <c r="A10" s="31">
        <v>45772</v>
      </c>
      <c r="B10" s="16">
        <v>18000</v>
      </c>
    </row>
    <row r="11" spans="1:2" x14ac:dyDescent="0.3">
      <c r="A11" s="31">
        <v>45781</v>
      </c>
      <c r="B11" s="16">
        <v>10000</v>
      </c>
    </row>
    <row r="12" spans="1:2" x14ac:dyDescent="0.3">
      <c r="A12" s="31">
        <v>45789</v>
      </c>
      <c r="B12" s="16">
        <v>52000</v>
      </c>
    </row>
    <row r="13" spans="1:2" x14ac:dyDescent="0.3">
      <c r="A13" s="31">
        <v>45795</v>
      </c>
      <c r="B13" s="16">
        <v>30000</v>
      </c>
    </row>
    <row r="14" spans="1:2" x14ac:dyDescent="0.3">
      <c r="A14" s="31">
        <v>45797</v>
      </c>
      <c r="B14" s="16">
        <v>30000</v>
      </c>
    </row>
    <row r="15" spans="1:2" x14ac:dyDescent="0.3">
      <c r="A15" s="31">
        <v>45800</v>
      </c>
      <c r="B15" s="16">
        <v>10000</v>
      </c>
    </row>
    <row r="16" spans="1:2" x14ac:dyDescent="0.3">
      <c r="A16" s="31">
        <v>45809</v>
      </c>
      <c r="B16" s="16">
        <v>3000</v>
      </c>
    </row>
    <row r="17" spans="1:2" x14ac:dyDescent="0.3">
      <c r="A17" s="31">
        <v>45818</v>
      </c>
      <c r="B17" s="16">
        <v>30000</v>
      </c>
    </row>
    <row r="18" spans="1:2" x14ac:dyDescent="0.3">
      <c r="A18" s="31">
        <v>45823</v>
      </c>
      <c r="B18" s="16">
        <v>52000</v>
      </c>
    </row>
    <row r="19" spans="1:2" x14ac:dyDescent="0.3">
      <c r="A19" s="31">
        <v>45879</v>
      </c>
      <c r="B19" s="16">
        <v>10000</v>
      </c>
    </row>
    <row r="20" spans="1:2" x14ac:dyDescent="0.3">
      <c r="A20" s="31">
        <v>45888</v>
      </c>
      <c r="B20" s="16">
        <v>52000</v>
      </c>
    </row>
    <row r="21" spans="1:2" x14ac:dyDescent="0.3">
      <c r="A21" s="31">
        <v>45889</v>
      </c>
      <c r="B21" s="16">
        <v>52000</v>
      </c>
    </row>
    <row r="22" spans="1:2" x14ac:dyDescent="0.3">
      <c r="A22" s="31">
        <v>45892</v>
      </c>
      <c r="B22" s="16">
        <v>30000</v>
      </c>
    </row>
    <row r="23" spans="1:2" x14ac:dyDescent="0.3">
      <c r="A23" s="31">
        <v>45895</v>
      </c>
      <c r="B23" s="16">
        <v>30000</v>
      </c>
    </row>
    <row r="24" spans="1:2" x14ac:dyDescent="0.3">
      <c r="A24" s="31">
        <v>45900</v>
      </c>
      <c r="B24" s="16">
        <v>52000</v>
      </c>
    </row>
    <row r="25" spans="1:2" x14ac:dyDescent="0.3">
      <c r="A25" s="31">
        <v>45903</v>
      </c>
      <c r="B25" s="16">
        <v>30000</v>
      </c>
    </row>
    <row r="26" spans="1:2" x14ac:dyDescent="0.3">
      <c r="A26" s="31">
        <v>45922</v>
      </c>
      <c r="B26" s="16">
        <v>10000</v>
      </c>
    </row>
    <row r="27" spans="1:2" x14ac:dyDescent="0.3">
      <c r="A27" s="31">
        <v>45925</v>
      </c>
      <c r="B27" s="16">
        <v>52000</v>
      </c>
    </row>
    <row r="28" spans="1:2" x14ac:dyDescent="0.3">
      <c r="A28" s="31">
        <v>45927</v>
      </c>
      <c r="B28" s="16">
        <v>30000</v>
      </c>
    </row>
    <row r="29" spans="1:2" x14ac:dyDescent="0.3">
      <c r="A29" s="31">
        <v>45936</v>
      </c>
      <c r="B29" s="16">
        <v>18000</v>
      </c>
    </row>
    <row r="30" spans="1:2" x14ac:dyDescent="0.3">
      <c r="A30" s="31">
        <v>45942</v>
      </c>
      <c r="B30" s="16">
        <v>10000</v>
      </c>
    </row>
    <row r="31" spans="1:2" x14ac:dyDescent="0.3">
      <c r="A31" s="31">
        <v>45955</v>
      </c>
      <c r="B31" s="16">
        <v>3000</v>
      </c>
    </row>
    <row r="32" spans="1:2" x14ac:dyDescent="0.3">
      <c r="A32" s="31">
        <v>45960</v>
      </c>
      <c r="B32" s="16">
        <v>18000</v>
      </c>
    </row>
    <row r="33" spans="1:2" x14ac:dyDescent="0.3">
      <c r="A33" s="31">
        <v>45979</v>
      </c>
      <c r="B33" s="16">
        <v>10000</v>
      </c>
    </row>
    <row r="34" spans="1:2" x14ac:dyDescent="0.3">
      <c r="A34" s="31">
        <v>45994</v>
      </c>
      <c r="B34" s="16">
        <v>3000</v>
      </c>
    </row>
    <row r="35" spans="1:2" x14ac:dyDescent="0.3">
      <c r="A35" s="31">
        <v>46006</v>
      </c>
      <c r="B35" s="16">
        <v>30000</v>
      </c>
    </row>
    <row r="36" spans="1:2" x14ac:dyDescent="0.3">
      <c r="A36" s="31">
        <v>46013</v>
      </c>
      <c r="B36" s="16">
        <v>52000</v>
      </c>
    </row>
    <row r="37" spans="1:2" x14ac:dyDescent="0.3">
      <c r="A37" s="31" t="s">
        <v>426</v>
      </c>
      <c r="B37" s="16">
        <v>883000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D5" sqref="D5"/>
    </sheetView>
  </sheetViews>
  <sheetFormatPr defaultRowHeight="14.4" x14ac:dyDescent="0.3"/>
  <cols>
    <col min="1" max="1" width="12.5546875" customWidth="1"/>
    <col min="2" max="2" width="17.6640625" bestFit="1" customWidth="1"/>
    <col min="3" max="3" width="16" bestFit="1" customWidth="1"/>
    <col min="4" max="4" width="31.109375" bestFit="1" customWidth="1"/>
  </cols>
  <sheetData>
    <row r="3" spans="1:4" x14ac:dyDescent="0.3">
      <c r="A3" s="17" t="s">
        <v>427</v>
      </c>
      <c r="B3" t="s">
        <v>432</v>
      </c>
      <c r="C3" t="s">
        <v>439</v>
      </c>
      <c r="D3" t="s">
        <v>449</v>
      </c>
    </row>
    <row r="4" spans="1:4" x14ac:dyDescent="0.3">
      <c r="A4" s="18" t="s">
        <v>443</v>
      </c>
      <c r="B4" s="16">
        <v>1039000</v>
      </c>
      <c r="C4" s="16">
        <v>74</v>
      </c>
      <c r="D4" s="16">
        <v>14040.54054054054</v>
      </c>
    </row>
    <row r="5" spans="1:4" x14ac:dyDescent="0.3">
      <c r="A5" s="18" t="s">
        <v>444</v>
      </c>
      <c r="B5" s="16">
        <v>309000</v>
      </c>
      <c r="C5" s="16">
        <v>150</v>
      </c>
      <c r="D5" s="16">
        <v>2060</v>
      </c>
    </row>
    <row r="6" spans="1:4" x14ac:dyDescent="0.3">
      <c r="A6" s="18" t="s">
        <v>445</v>
      </c>
      <c r="B6" s="16">
        <v>3435000</v>
      </c>
      <c r="C6" s="16">
        <v>788</v>
      </c>
      <c r="D6" s="16">
        <v>4359.1370558375638</v>
      </c>
    </row>
    <row r="7" spans="1:4" x14ac:dyDescent="0.3">
      <c r="A7" s="18" t="s">
        <v>426</v>
      </c>
      <c r="B7" s="16">
        <v>4783000</v>
      </c>
      <c r="C7" s="16">
        <v>1012</v>
      </c>
      <c r="D7" s="16">
        <v>4726.284584980237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90"/>
  <sheetViews>
    <sheetView topLeftCell="B1" workbookViewId="0">
      <selection activeCell="I29" sqref="I29"/>
    </sheetView>
  </sheetViews>
  <sheetFormatPr defaultRowHeight="14.4" x14ac:dyDescent="0.3"/>
  <cols>
    <col min="1" max="1" width="12.5546875" customWidth="1"/>
    <col min="2" max="2" width="15.88671875" customWidth="1"/>
    <col min="3" max="3" width="17.44140625" bestFit="1" customWidth="1"/>
  </cols>
  <sheetData>
    <row r="3" spans="1:11" x14ac:dyDescent="0.3">
      <c r="A3" s="17" t="s">
        <v>427</v>
      </c>
      <c r="B3" t="s">
        <v>446</v>
      </c>
      <c r="C3" t="s">
        <v>441</v>
      </c>
      <c r="K3" s="29" t="s">
        <v>448</v>
      </c>
    </row>
    <row r="4" spans="1:11" x14ac:dyDescent="0.3">
      <c r="A4" s="31">
        <v>43844</v>
      </c>
      <c r="B4" s="16">
        <v>180000</v>
      </c>
      <c r="C4" s="16">
        <v>1</v>
      </c>
    </row>
    <row r="5" spans="1:11" x14ac:dyDescent="0.3">
      <c r="A5" s="31">
        <v>43859</v>
      </c>
      <c r="B5" s="16">
        <v>12000</v>
      </c>
      <c r="C5" s="16">
        <v>1</v>
      </c>
    </row>
    <row r="6" spans="1:11" x14ac:dyDescent="0.3">
      <c r="A6" s="31">
        <v>43868</v>
      </c>
      <c r="B6" s="16">
        <v>12000</v>
      </c>
      <c r="C6" s="16">
        <v>1</v>
      </c>
    </row>
    <row r="7" spans="1:11" x14ac:dyDescent="0.3">
      <c r="A7" s="31">
        <v>43884</v>
      </c>
      <c r="B7" s="16">
        <v>6000</v>
      </c>
      <c r="C7" s="16">
        <v>1</v>
      </c>
    </row>
    <row r="8" spans="1:11" x14ac:dyDescent="0.3">
      <c r="A8" s="31">
        <v>43886</v>
      </c>
      <c r="B8" s="16">
        <v>42000</v>
      </c>
      <c r="C8" s="16">
        <v>1</v>
      </c>
    </row>
    <row r="9" spans="1:11" x14ac:dyDescent="0.3">
      <c r="A9" s="31">
        <v>43889</v>
      </c>
      <c r="B9" s="16">
        <v>9000</v>
      </c>
      <c r="C9" s="16">
        <v>1</v>
      </c>
    </row>
    <row r="10" spans="1:11" x14ac:dyDescent="0.3">
      <c r="A10" s="31">
        <v>43924</v>
      </c>
      <c r="B10" s="16">
        <v>108000</v>
      </c>
      <c r="C10" s="16">
        <v>1</v>
      </c>
    </row>
    <row r="11" spans="1:11" x14ac:dyDescent="0.3">
      <c r="A11" s="31">
        <v>43925</v>
      </c>
      <c r="B11" s="16">
        <v>35000</v>
      </c>
      <c r="C11" s="16">
        <v>1</v>
      </c>
    </row>
    <row r="12" spans="1:11" x14ac:dyDescent="0.3">
      <c r="A12" s="31">
        <v>43936</v>
      </c>
      <c r="B12" s="16">
        <v>12000</v>
      </c>
      <c r="C12" s="16">
        <v>1</v>
      </c>
    </row>
    <row r="13" spans="1:11" x14ac:dyDescent="0.3">
      <c r="A13" s="31">
        <v>43965</v>
      </c>
      <c r="B13" s="16">
        <v>280000</v>
      </c>
      <c r="C13" s="16">
        <v>1</v>
      </c>
    </row>
    <row r="14" spans="1:11" x14ac:dyDescent="0.3">
      <c r="A14" s="31">
        <v>43969</v>
      </c>
      <c r="B14" s="16">
        <v>20000</v>
      </c>
      <c r="C14" s="16">
        <v>1</v>
      </c>
    </row>
    <row r="15" spans="1:11" x14ac:dyDescent="0.3">
      <c r="A15" s="31">
        <v>43977</v>
      </c>
      <c r="B15" s="16">
        <v>12000</v>
      </c>
      <c r="C15" s="16">
        <v>1</v>
      </c>
    </row>
    <row r="16" spans="1:11" x14ac:dyDescent="0.3">
      <c r="A16" s="31">
        <v>43998</v>
      </c>
      <c r="B16" s="16">
        <v>6000</v>
      </c>
      <c r="C16" s="16">
        <v>1</v>
      </c>
    </row>
    <row r="17" spans="1:3" x14ac:dyDescent="0.3">
      <c r="A17" s="31">
        <v>44002</v>
      </c>
      <c r="B17" s="16">
        <v>12000</v>
      </c>
      <c r="C17" s="16">
        <v>1</v>
      </c>
    </row>
    <row r="18" spans="1:3" x14ac:dyDescent="0.3">
      <c r="A18" s="31">
        <v>44042</v>
      </c>
      <c r="B18" s="16">
        <v>24000</v>
      </c>
      <c r="C18" s="16">
        <v>1</v>
      </c>
    </row>
    <row r="19" spans="1:3" x14ac:dyDescent="0.3">
      <c r="A19" s="31">
        <v>44048</v>
      </c>
      <c r="B19" s="16">
        <v>96000</v>
      </c>
      <c r="C19" s="16">
        <v>1</v>
      </c>
    </row>
    <row r="20" spans="1:3" x14ac:dyDescent="0.3">
      <c r="A20" s="31">
        <v>44056</v>
      </c>
      <c r="B20" s="16">
        <v>40000</v>
      </c>
      <c r="C20" s="16">
        <v>1</v>
      </c>
    </row>
    <row r="21" spans="1:3" x14ac:dyDescent="0.3">
      <c r="A21" s="31">
        <v>44064</v>
      </c>
      <c r="B21" s="16">
        <v>100000</v>
      </c>
      <c r="C21" s="16">
        <v>1</v>
      </c>
    </row>
    <row r="22" spans="1:3" x14ac:dyDescent="0.3">
      <c r="A22" s="31">
        <v>44067</v>
      </c>
      <c r="B22" s="16">
        <v>12000</v>
      </c>
      <c r="C22" s="16">
        <v>1</v>
      </c>
    </row>
    <row r="23" spans="1:3" x14ac:dyDescent="0.3">
      <c r="A23" s="31">
        <v>44079</v>
      </c>
      <c r="B23" s="16">
        <v>4500</v>
      </c>
      <c r="C23" s="16">
        <v>1</v>
      </c>
    </row>
    <row r="24" spans="1:3" x14ac:dyDescent="0.3">
      <c r="A24" s="31">
        <v>44089</v>
      </c>
      <c r="B24" s="16">
        <v>72000</v>
      </c>
      <c r="C24" s="16">
        <v>1</v>
      </c>
    </row>
    <row r="25" spans="1:3" x14ac:dyDescent="0.3">
      <c r="A25" s="31">
        <v>44099</v>
      </c>
      <c r="B25" s="16">
        <v>54000</v>
      </c>
      <c r="C25" s="16">
        <v>1</v>
      </c>
    </row>
    <row r="26" spans="1:3" x14ac:dyDescent="0.3">
      <c r="A26" s="31">
        <v>44108</v>
      </c>
      <c r="B26" s="16">
        <v>18000</v>
      </c>
      <c r="C26" s="16">
        <v>1</v>
      </c>
    </row>
    <row r="27" spans="1:3" x14ac:dyDescent="0.3">
      <c r="A27" s="31">
        <v>44117</v>
      </c>
      <c r="B27" s="16">
        <v>240000</v>
      </c>
      <c r="C27" s="16">
        <v>2</v>
      </c>
    </row>
    <row r="28" spans="1:3" x14ac:dyDescent="0.3">
      <c r="A28" s="31">
        <v>44147</v>
      </c>
      <c r="B28" s="16">
        <v>12000</v>
      </c>
      <c r="C28" s="16">
        <v>1</v>
      </c>
    </row>
    <row r="29" spans="1:3" x14ac:dyDescent="0.3">
      <c r="A29" s="31">
        <v>44193</v>
      </c>
      <c r="B29" s="16">
        <v>7500</v>
      </c>
      <c r="C29" s="16">
        <v>1</v>
      </c>
    </row>
    <row r="30" spans="1:3" x14ac:dyDescent="0.3">
      <c r="A30" s="31">
        <v>44205</v>
      </c>
      <c r="B30" s="16">
        <v>10500</v>
      </c>
      <c r="C30" s="16">
        <v>1</v>
      </c>
    </row>
    <row r="31" spans="1:3" x14ac:dyDescent="0.3">
      <c r="A31" s="31">
        <v>44207</v>
      </c>
      <c r="B31" s="16">
        <v>140000</v>
      </c>
      <c r="C31" s="16">
        <v>1</v>
      </c>
    </row>
    <row r="32" spans="1:3" x14ac:dyDescent="0.3">
      <c r="A32" s="31">
        <v>44211</v>
      </c>
      <c r="B32" s="16">
        <v>350000</v>
      </c>
      <c r="C32" s="16">
        <v>1</v>
      </c>
    </row>
    <row r="33" spans="1:3" x14ac:dyDescent="0.3">
      <c r="A33" s="31">
        <v>44223</v>
      </c>
      <c r="B33" s="16">
        <v>18000</v>
      </c>
      <c r="C33" s="16">
        <v>1</v>
      </c>
    </row>
    <row r="34" spans="1:3" x14ac:dyDescent="0.3">
      <c r="A34" s="31">
        <v>44224</v>
      </c>
      <c r="B34" s="16">
        <v>12000</v>
      </c>
      <c r="C34" s="16">
        <v>1</v>
      </c>
    </row>
    <row r="35" spans="1:3" x14ac:dyDescent="0.3">
      <c r="A35" s="31">
        <v>44265</v>
      </c>
      <c r="B35" s="16">
        <v>24000</v>
      </c>
      <c r="C35" s="16">
        <v>1</v>
      </c>
    </row>
    <row r="36" spans="1:3" x14ac:dyDescent="0.3">
      <c r="A36" s="31">
        <v>44273</v>
      </c>
      <c r="B36" s="16">
        <v>12000</v>
      </c>
      <c r="C36" s="16">
        <v>1</v>
      </c>
    </row>
    <row r="37" spans="1:3" x14ac:dyDescent="0.3">
      <c r="A37" s="31">
        <v>44277</v>
      </c>
      <c r="B37" s="16">
        <v>280000</v>
      </c>
      <c r="C37" s="16">
        <v>1</v>
      </c>
    </row>
    <row r="38" spans="1:3" x14ac:dyDescent="0.3">
      <c r="A38" s="31">
        <v>44294</v>
      </c>
      <c r="B38" s="16">
        <v>13500</v>
      </c>
      <c r="C38" s="16">
        <v>1</v>
      </c>
    </row>
    <row r="39" spans="1:3" x14ac:dyDescent="0.3">
      <c r="A39" s="31">
        <v>44296</v>
      </c>
      <c r="B39" s="16">
        <v>9000</v>
      </c>
      <c r="C39" s="16">
        <v>1</v>
      </c>
    </row>
    <row r="40" spans="1:3" x14ac:dyDescent="0.3">
      <c r="A40" s="31">
        <v>44297</v>
      </c>
      <c r="B40" s="16">
        <v>60000</v>
      </c>
      <c r="C40" s="16">
        <v>1</v>
      </c>
    </row>
    <row r="41" spans="1:3" x14ac:dyDescent="0.3">
      <c r="A41" s="31">
        <v>44300</v>
      </c>
      <c r="B41" s="16">
        <v>140000</v>
      </c>
      <c r="C41" s="16">
        <v>1</v>
      </c>
    </row>
    <row r="42" spans="1:3" x14ac:dyDescent="0.3">
      <c r="A42" s="31">
        <v>44310</v>
      </c>
      <c r="B42" s="16">
        <v>120000</v>
      </c>
      <c r="C42" s="16">
        <v>1</v>
      </c>
    </row>
    <row r="43" spans="1:3" x14ac:dyDescent="0.3">
      <c r="A43" s="31">
        <v>44314</v>
      </c>
      <c r="B43" s="16">
        <v>36000</v>
      </c>
      <c r="C43" s="16">
        <v>1</v>
      </c>
    </row>
    <row r="44" spans="1:3" x14ac:dyDescent="0.3">
      <c r="A44" s="31">
        <v>44342</v>
      </c>
      <c r="B44" s="16">
        <v>24000</v>
      </c>
      <c r="C44" s="16">
        <v>1</v>
      </c>
    </row>
    <row r="45" spans="1:3" x14ac:dyDescent="0.3">
      <c r="A45" s="31">
        <v>44350</v>
      </c>
      <c r="B45" s="16">
        <v>105000</v>
      </c>
      <c r="C45" s="16">
        <v>1</v>
      </c>
    </row>
    <row r="46" spans="1:3" x14ac:dyDescent="0.3">
      <c r="A46" s="31">
        <v>44354</v>
      </c>
      <c r="B46" s="16">
        <v>140000</v>
      </c>
      <c r="C46" s="16">
        <v>1</v>
      </c>
    </row>
    <row r="47" spans="1:3" x14ac:dyDescent="0.3">
      <c r="A47" s="31">
        <v>44377</v>
      </c>
      <c r="B47" s="16">
        <v>20000</v>
      </c>
      <c r="C47" s="16">
        <v>1</v>
      </c>
    </row>
    <row r="48" spans="1:3" x14ac:dyDescent="0.3">
      <c r="A48" s="31">
        <v>44404</v>
      </c>
      <c r="B48" s="16">
        <v>120000</v>
      </c>
      <c r="C48" s="16">
        <v>1</v>
      </c>
    </row>
    <row r="49" spans="1:3" x14ac:dyDescent="0.3">
      <c r="A49" s="31">
        <v>44407</v>
      </c>
      <c r="B49" s="16">
        <v>292000</v>
      </c>
      <c r="C49" s="16">
        <v>3</v>
      </c>
    </row>
    <row r="50" spans="1:3" x14ac:dyDescent="0.3">
      <c r="A50" s="31">
        <v>44424</v>
      </c>
      <c r="B50" s="16">
        <v>175000</v>
      </c>
      <c r="C50" s="16">
        <v>1</v>
      </c>
    </row>
    <row r="51" spans="1:3" x14ac:dyDescent="0.3">
      <c r="A51" s="31">
        <v>44451</v>
      </c>
      <c r="B51" s="16">
        <v>72000</v>
      </c>
      <c r="C51" s="16">
        <v>2</v>
      </c>
    </row>
    <row r="52" spans="1:3" x14ac:dyDescent="0.3">
      <c r="A52" s="31">
        <v>44472</v>
      </c>
      <c r="B52" s="16">
        <v>42000</v>
      </c>
      <c r="C52" s="16">
        <v>1</v>
      </c>
    </row>
    <row r="53" spans="1:3" x14ac:dyDescent="0.3">
      <c r="A53" s="31">
        <v>44487</v>
      </c>
      <c r="B53" s="16">
        <v>315000</v>
      </c>
      <c r="C53" s="16">
        <v>1</v>
      </c>
    </row>
    <row r="54" spans="1:3" x14ac:dyDescent="0.3">
      <c r="A54" s="31">
        <v>44491</v>
      </c>
      <c r="B54" s="16">
        <v>280000</v>
      </c>
      <c r="C54" s="16">
        <v>1</v>
      </c>
    </row>
    <row r="55" spans="1:3" x14ac:dyDescent="0.3">
      <c r="A55" s="31">
        <v>44502</v>
      </c>
      <c r="B55" s="16">
        <v>12000</v>
      </c>
      <c r="C55" s="16">
        <v>1</v>
      </c>
    </row>
    <row r="56" spans="1:3" x14ac:dyDescent="0.3">
      <c r="A56" s="31">
        <v>44521</v>
      </c>
      <c r="B56" s="16">
        <v>72000</v>
      </c>
      <c r="C56" s="16">
        <v>1</v>
      </c>
    </row>
    <row r="57" spans="1:3" x14ac:dyDescent="0.3">
      <c r="A57" s="31">
        <v>44532</v>
      </c>
      <c r="B57" s="16">
        <v>315000</v>
      </c>
      <c r="C57" s="16">
        <v>1</v>
      </c>
    </row>
    <row r="58" spans="1:3" x14ac:dyDescent="0.3">
      <c r="A58" s="31">
        <v>44537</v>
      </c>
      <c r="B58" s="16">
        <v>24000</v>
      </c>
      <c r="C58" s="16">
        <v>1</v>
      </c>
    </row>
    <row r="59" spans="1:3" x14ac:dyDescent="0.3">
      <c r="A59" s="31">
        <v>44541</v>
      </c>
      <c r="B59" s="16">
        <v>120000</v>
      </c>
      <c r="C59" s="16">
        <v>1</v>
      </c>
    </row>
    <row r="60" spans="1:3" x14ac:dyDescent="0.3">
      <c r="A60" s="31">
        <v>44547</v>
      </c>
      <c r="B60" s="16">
        <v>84000</v>
      </c>
      <c r="C60" s="16">
        <v>1</v>
      </c>
    </row>
    <row r="61" spans="1:3" x14ac:dyDescent="0.3">
      <c r="A61" s="31">
        <v>44579</v>
      </c>
      <c r="B61" s="16">
        <v>70000</v>
      </c>
      <c r="C61" s="16">
        <v>1</v>
      </c>
    </row>
    <row r="62" spans="1:3" x14ac:dyDescent="0.3">
      <c r="A62" s="31">
        <v>44590</v>
      </c>
      <c r="B62" s="16">
        <v>35000</v>
      </c>
      <c r="C62" s="16">
        <v>1</v>
      </c>
    </row>
    <row r="63" spans="1:3" x14ac:dyDescent="0.3">
      <c r="A63" s="31">
        <v>44597</v>
      </c>
      <c r="B63" s="16">
        <v>140000</v>
      </c>
      <c r="C63" s="16">
        <v>1</v>
      </c>
    </row>
    <row r="64" spans="1:3" x14ac:dyDescent="0.3">
      <c r="A64" s="31">
        <v>44600</v>
      </c>
      <c r="B64" s="16">
        <v>84000</v>
      </c>
      <c r="C64" s="16">
        <v>1</v>
      </c>
    </row>
    <row r="65" spans="1:3" x14ac:dyDescent="0.3">
      <c r="A65" s="31">
        <v>44618</v>
      </c>
      <c r="B65" s="16">
        <v>38000</v>
      </c>
      <c r="C65" s="16">
        <v>2</v>
      </c>
    </row>
    <row r="66" spans="1:3" x14ac:dyDescent="0.3">
      <c r="A66" s="31">
        <v>44634</v>
      </c>
      <c r="B66" s="16">
        <v>210000</v>
      </c>
      <c r="C66" s="16">
        <v>1</v>
      </c>
    </row>
    <row r="67" spans="1:3" x14ac:dyDescent="0.3">
      <c r="A67" s="31">
        <v>44635</v>
      </c>
      <c r="B67" s="16">
        <v>280000</v>
      </c>
      <c r="C67" s="16">
        <v>1</v>
      </c>
    </row>
    <row r="68" spans="1:3" x14ac:dyDescent="0.3">
      <c r="A68" s="31">
        <v>44666</v>
      </c>
      <c r="B68" s="16">
        <v>140000</v>
      </c>
      <c r="C68" s="16">
        <v>1</v>
      </c>
    </row>
    <row r="69" spans="1:3" x14ac:dyDescent="0.3">
      <c r="A69" s="31">
        <v>44672</v>
      </c>
      <c r="B69" s="16">
        <v>12000</v>
      </c>
      <c r="C69" s="16">
        <v>1</v>
      </c>
    </row>
    <row r="70" spans="1:3" x14ac:dyDescent="0.3">
      <c r="A70" s="31">
        <v>44680</v>
      </c>
      <c r="B70" s="16">
        <v>140000</v>
      </c>
      <c r="C70" s="16">
        <v>1</v>
      </c>
    </row>
    <row r="71" spans="1:3" x14ac:dyDescent="0.3">
      <c r="A71" s="31">
        <v>44681</v>
      </c>
      <c r="B71" s="16">
        <v>9000</v>
      </c>
      <c r="C71" s="16">
        <v>1</v>
      </c>
    </row>
    <row r="72" spans="1:3" x14ac:dyDescent="0.3">
      <c r="A72" s="31">
        <v>44689</v>
      </c>
      <c r="B72" s="16">
        <v>84000</v>
      </c>
      <c r="C72" s="16">
        <v>1</v>
      </c>
    </row>
    <row r="73" spans="1:3" x14ac:dyDescent="0.3">
      <c r="A73" s="31">
        <v>44692</v>
      </c>
      <c r="B73" s="16">
        <v>175000</v>
      </c>
      <c r="C73" s="16">
        <v>1</v>
      </c>
    </row>
    <row r="74" spans="1:3" x14ac:dyDescent="0.3">
      <c r="A74" s="31">
        <v>44699</v>
      </c>
      <c r="B74" s="16">
        <v>48000</v>
      </c>
      <c r="C74" s="16">
        <v>1</v>
      </c>
    </row>
    <row r="75" spans="1:3" x14ac:dyDescent="0.3">
      <c r="A75" s="31">
        <v>44714</v>
      </c>
      <c r="B75" s="16">
        <v>48000</v>
      </c>
      <c r="C75" s="16">
        <v>1</v>
      </c>
    </row>
    <row r="76" spans="1:3" x14ac:dyDescent="0.3">
      <c r="A76" s="31">
        <v>44720</v>
      </c>
      <c r="B76" s="16">
        <v>350000</v>
      </c>
      <c r="C76" s="16">
        <v>1</v>
      </c>
    </row>
    <row r="77" spans="1:3" x14ac:dyDescent="0.3">
      <c r="A77" s="31">
        <v>44766</v>
      </c>
      <c r="B77" s="16">
        <v>18000</v>
      </c>
      <c r="C77" s="16">
        <v>1</v>
      </c>
    </row>
    <row r="78" spans="1:3" x14ac:dyDescent="0.3">
      <c r="A78" s="31">
        <v>44780</v>
      </c>
      <c r="B78" s="16">
        <v>6000</v>
      </c>
      <c r="C78" s="16">
        <v>1</v>
      </c>
    </row>
    <row r="79" spans="1:3" x14ac:dyDescent="0.3">
      <c r="A79" s="31">
        <v>44785</v>
      </c>
      <c r="B79" s="16">
        <v>80000</v>
      </c>
      <c r="C79" s="16">
        <v>1</v>
      </c>
    </row>
    <row r="80" spans="1:3" x14ac:dyDescent="0.3">
      <c r="A80" s="31">
        <v>44786</v>
      </c>
      <c r="B80" s="16">
        <v>60000</v>
      </c>
      <c r="C80" s="16">
        <v>1</v>
      </c>
    </row>
    <row r="81" spans="1:3" x14ac:dyDescent="0.3">
      <c r="A81" s="31">
        <v>44792</v>
      </c>
      <c r="B81" s="16">
        <v>24000</v>
      </c>
      <c r="C81" s="16">
        <v>1</v>
      </c>
    </row>
    <row r="82" spans="1:3" x14ac:dyDescent="0.3">
      <c r="A82" s="31">
        <v>44795</v>
      </c>
      <c r="B82" s="16">
        <v>315000</v>
      </c>
      <c r="C82" s="16">
        <v>1</v>
      </c>
    </row>
    <row r="83" spans="1:3" x14ac:dyDescent="0.3">
      <c r="A83" s="31">
        <v>44809</v>
      </c>
      <c r="B83" s="16">
        <v>160000</v>
      </c>
      <c r="C83" s="16">
        <v>1</v>
      </c>
    </row>
    <row r="84" spans="1:3" x14ac:dyDescent="0.3">
      <c r="A84" s="31">
        <v>44819</v>
      </c>
      <c r="B84" s="16">
        <v>48000</v>
      </c>
      <c r="C84" s="16">
        <v>1</v>
      </c>
    </row>
    <row r="85" spans="1:3" x14ac:dyDescent="0.3">
      <c r="A85" s="31">
        <v>44833</v>
      </c>
      <c r="B85" s="16">
        <v>245000</v>
      </c>
      <c r="C85" s="16">
        <v>1</v>
      </c>
    </row>
    <row r="86" spans="1:3" x14ac:dyDescent="0.3">
      <c r="A86" s="31">
        <v>44845</v>
      </c>
      <c r="B86" s="16">
        <v>70000</v>
      </c>
      <c r="C86" s="16">
        <v>1</v>
      </c>
    </row>
    <row r="87" spans="1:3" x14ac:dyDescent="0.3">
      <c r="A87" s="31">
        <v>44855</v>
      </c>
      <c r="B87" s="16">
        <v>72000</v>
      </c>
      <c r="C87" s="16">
        <v>2</v>
      </c>
    </row>
    <row r="88" spans="1:3" x14ac:dyDescent="0.3">
      <c r="A88" s="31">
        <v>44863</v>
      </c>
      <c r="B88" s="16">
        <v>72000</v>
      </c>
      <c r="C88" s="16">
        <v>1</v>
      </c>
    </row>
    <row r="89" spans="1:3" x14ac:dyDescent="0.3">
      <c r="A89" s="31">
        <v>44872</v>
      </c>
      <c r="B89" s="16">
        <v>24000</v>
      </c>
      <c r="C89" s="16">
        <v>1</v>
      </c>
    </row>
    <row r="90" spans="1:3" x14ac:dyDescent="0.3">
      <c r="A90" s="31">
        <v>44882</v>
      </c>
      <c r="B90" s="16">
        <v>140000</v>
      </c>
      <c r="C90" s="16">
        <v>1</v>
      </c>
    </row>
    <row r="91" spans="1:3" x14ac:dyDescent="0.3">
      <c r="A91" s="31">
        <v>44909</v>
      </c>
      <c r="B91" s="16">
        <v>36000</v>
      </c>
      <c r="C91" s="16">
        <v>1</v>
      </c>
    </row>
    <row r="92" spans="1:3" x14ac:dyDescent="0.3">
      <c r="A92" s="31">
        <v>44912</v>
      </c>
      <c r="B92" s="16">
        <v>24000</v>
      </c>
      <c r="C92" s="16">
        <v>1</v>
      </c>
    </row>
    <row r="93" spans="1:3" x14ac:dyDescent="0.3">
      <c r="A93" s="31">
        <v>44919</v>
      </c>
      <c r="B93" s="16">
        <v>1500</v>
      </c>
      <c r="C93" s="16">
        <v>1</v>
      </c>
    </row>
    <row r="94" spans="1:3" x14ac:dyDescent="0.3">
      <c r="A94" s="31">
        <v>44937</v>
      </c>
      <c r="B94" s="16">
        <v>245000</v>
      </c>
      <c r="C94" s="16">
        <v>1</v>
      </c>
    </row>
    <row r="95" spans="1:3" x14ac:dyDescent="0.3">
      <c r="A95" s="31">
        <v>44955</v>
      </c>
      <c r="B95" s="16">
        <v>10500</v>
      </c>
      <c r="C95" s="16">
        <v>1</v>
      </c>
    </row>
    <row r="96" spans="1:3" x14ac:dyDescent="0.3">
      <c r="A96" s="31">
        <v>44970</v>
      </c>
      <c r="B96" s="16">
        <v>80000</v>
      </c>
      <c r="C96" s="16">
        <v>1</v>
      </c>
    </row>
    <row r="97" spans="1:3" x14ac:dyDescent="0.3">
      <c r="A97" s="31">
        <v>44978</v>
      </c>
      <c r="B97" s="16">
        <v>13500</v>
      </c>
      <c r="C97" s="16">
        <v>1</v>
      </c>
    </row>
    <row r="98" spans="1:3" x14ac:dyDescent="0.3">
      <c r="A98" s="31">
        <v>44981</v>
      </c>
      <c r="B98" s="16">
        <v>60000</v>
      </c>
      <c r="C98" s="16">
        <v>1</v>
      </c>
    </row>
    <row r="99" spans="1:3" x14ac:dyDescent="0.3">
      <c r="A99" s="31">
        <v>44992</v>
      </c>
      <c r="B99" s="16">
        <v>60000</v>
      </c>
      <c r="C99" s="16">
        <v>1</v>
      </c>
    </row>
    <row r="100" spans="1:3" x14ac:dyDescent="0.3">
      <c r="A100" s="31">
        <v>44996</v>
      </c>
      <c r="B100" s="16">
        <v>4500</v>
      </c>
      <c r="C100" s="16">
        <v>1</v>
      </c>
    </row>
    <row r="101" spans="1:3" x14ac:dyDescent="0.3">
      <c r="A101" s="31">
        <v>45007</v>
      </c>
      <c r="B101" s="16">
        <v>80000</v>
      </c>
      <c r="C101" s="16">
        <v>1</v>
      </c>
    </row>
    <row r="102" spans="1:3" x14ac:dyDescent="0.3">
      <c r="A102" s="31">
        <v>45028</v>
      </c>
      <c r="B102" s="16">
        <v>60000</v>
      </c>
      <c r="C102" s="16">
        <v>1</v>
      </c>
    </row>
    <row r="103" spans="1:3" x14ac:dyDescent="0.3">
      <c r="A103" s="31">
        <v>45041</v>
      </c>
      <c r="B103" s="16">
        <v>114000</v>
      </c>
      <c r="C103" s="16">
        <v>2</v>
      </c>
    </row>
    <row r="104" spans="1:3" x14ac:dyDescent="0.3">
      <c r="A104" s="31">
        <v>45047</v>
      </c>
      <c r="B104" s="16">
        <v>48000</v>
      </c>
      <c r="C104" s="16">
        <v>1</v>
      </c>
    </row>
    <row r="105" spans="1:3" x14ac:dyDescent="0.3">
      <c r="A105" s="31">
        <v>45072</v>
      </c>
      <c r="B105" s="16">
        <v>36000</v>
      </c>
      <c r="C105" s="16">
        <v>1</v>
      </c>
    </row>
    <row r="106" spans="1:3" x14ac:dyDescent="0.3">
      <c r="A106" s="31">
        <v>45074</v>
      </c>
      <c r="B106" s="16">
        <v>18000</v>
      </c>
      <c r="C106" s="16">
        <v>1</v>
      </c>
    </row>
    <row r="107" spans="1:3" x14ac:dyDescent="0.3">
      <c r="A107" s="31">
        <v>45094</v>
      </c>
      <c r="B107" s="16">
        <v>200000</v>
      </c>
      <c r="C107" s="16">
        <v>1</v>
      </c>
    </row>
    <row r="108" spans="1:3" x14ac:dyDescent="0.3">
      <c r="A108" s="31">
        <v>45098</v>
      </c>
      <c r="B108" s="16">
        <v>80000</v>
      </c>
      <c r="C108" s="16">
        <v>1</v>
      </c>
    </row>
    <row r="109" spans="1:3" x14ac:dyDescent="0.3">
      <c r="A109" s="31">
        <v>45101</v>
      </c>
      <c r="B109" s="16">
        <v>12000</v>
      </c>
      <c r="C109" s="16">
        <v>1</v>
      </c>
    </row>
    <row r="110" spans="1:3" x14ac:dyDescent="0.3">
      <c r="A110" s="31">
        <v>45104</v>
      </c>
      <c r="B110" s="16">
        <v>175000</v>
      </c>
      <c r="C110" s="16">
        <v>1</v>
      </c>
    </row>
    <row r="111" spans="1:3" x14ac:dyDescent="0.3">
      <c r="A111" s="31">
        <v>45127</v>
      </c>
      <c r="B111" s="16">
        <v>36000</v>
      </c>
      <c r="C111" s="16">
        <v>1</v>
      </c>
    </row>
    <row r="112" spans="1:3" x14ac:dyDescent="0.3">
      <c r="A112" s="31">
        <v>45135</v>
      </c>
      <c r="B112" s="16">
        <v>100000</v>
      </c>
      <c r="C112" s="16">
        <v>1</v>
      </c>
    </row>
    <row r="113" spans="1:3" x14ac:dyDescent="0.3">
      <c r="A113" s="31">
        <v>45137</v>
      </c>
      <c r="B113" s="16">
        <v>36000</v>
      </c>
      <c r="C113" s="16">
        <v>1</v>
      </c>
    </row>
    <row r="114" spans="1:3" x14ac:dyDescent="0.3">
      <c r="A114" s="31">
        <v>45146</v>
      </c>
      <c r="B114" s="16">
        <v>12000</v>
      </c>
      <c r="C114" s="16">
        <v>1</v>
      </c>
    </row>
    <row r="115" spans="1:3" x14ac:dyDescent="0.3">
      <c r="A115" s="31">
        <v>45150</v>
      </c>
      <c r="B115" s="16">
        <v>124500</v>
      </c>
      <c r="C115" s="16">
        <v>2</v>
      </c>
    </row>
    <row r="116" spans="1:3" x14ac:dyDescent="0.3">
      <c r="A116" s="31">
        <v>45163</v>
      </c>
      <c r="B116" s="16">
        <v>12000</v>
      </c>
      <c r="C116" s="16">
        <v>1</v>
      </c>
    </row>
    <row r="117" spans="1:3" x14ac:dyDescent="0.3">
      <c r="A117" s="31">
        <v>45170</v>
      </c>
      <c r="B117" s="16">
        <v>70000</v>
      </c>
      <c r="C117" s="16">
        <v>1</v>
      </c>
    </row>
    <row r="118" spans="1:3" x14ac:dyDescent="0.3">
      <c r="A118" s="31">
        <v>45185</v>
      </c>
      <c r="B118" s="16">
        <v>3000</v>
      </c>
      <c r="C118" s="16">
        <v>1</v>
      </c>
    </row>
    <row r="119" spans="1:3" x14ac:dyDescent="0.3">
      <c r="A119" s="31">
        <v>45197</v>
      </c>
      <c r="B119" s="16">
        <v>15000</v>
      </c>
      <c r="C119" s="16">
        <v>1</v>
      </c>
    </row>
    <row r="120" spans="1:3" x14ac:dyDescent="0.3">
      <c r="A120" s="31">
        <v>45202</v>
      </c>
      <c r="B120" s="16">
        <v>24000</v>
      </c>
      <c r="C120" s="16">
        <v>1</v>
      </c>
    </row>
    <row r="121" spans="1:3" x14ac:dyDescent="0.3">
      <c r="A121" s="31">
        <v>45214</v>
      </c>
      <c r="B121" s="16">
        <v>80000</v>
      </c>
      <c r="C121" s="16">
        <v>1</v>
      </c>
    </row>
    <row r="122" spans="1:3" x14ac:dyDescent="0.3">
      <c r="A122" s="31">
        <v>45220</v>
      </c>
      <c r="B122" s="16">
        <v>245000</v>
      </c>
      <c r="C122" s="16">
        <v>1</v>
      </c>
    </row>
    <row r="123" spans="1:3" x14ac:dyDescent="0.3">
      <c r="A123" s="31">
        <v>45226</v>
      </c>
      <c r="B123" s="16">
        <v>80000</v>
      </c>
      <c r="C123" s="16">
        <v>1</v>
      </c>
    </row>
    <row r="124" spans="1:3" x14ac:dyDescent="0.3">
      <c r="A124" s="31">
        <v>45236</v>
      </c>
      <c r="B124" s="16">
        <v>3000</v>
      </c>
      <c r="C124" s="16">
        <v>1</v>
      </c>
    </row>
    <row r="125" spans="1:3" x14ac:dyDescent="0.3">
      <c r="A125" s="31">
        <v>45240</v>
      </c>
      <c r="B125" s="16">
        <v>7500</v>
      </c>
      <c r="C125" s="16">
        <v>1</v>
      </c>
    </row>
    <row r="126" spans="1:3" x14ac:dyDescent="0.3">
      <c r="A126" s="31">
        <v>45251</v>
      </c>
      <c r="B126" s="16">
        <v>83000</v>
      </c>
      <c r="C126" s="16">
        <v>2</v>
      </c>
    </row>
    <row r="127" spans="1:3" x14ac:dyDescent="0.3">
      <c r="A127" s="31">
        <v>45258</v>
      </c>
      <c r="B127" s="16">
        <v>24000</v>
      </c>
      <c r="C127" s="16">
        <v>1</v>
      </c>
    </row>
    <row r="128" spans="1:3" x14ac:dyDescent="0.3">
      <c r="A128" s="31">
        <v>45259</v>
      </c>
      <c r="B128" s="16">
        <v>1500</v>
      </c>
      <c r="C128" s="16">
        <v>1</v>
      </c>
    </row>
    <row r="129" spans="1:3" x14ac:dyDescent="0.3">
      <c r="A129" s="31">
        <v>45301</v>
      </c>
      <c r="B129" s="16">
        <v>180000</v>
      </c>
      <c r="C129" s="16">
        <v>1</v>
      </c>
    </row>
    <row r="130" spans="1:3" x14ac:dyDescent="0.3">
      <c r="A130" s="31">
        <v>45308</v>
      </c>
      <c r="B130" s="16">
        <v>258500</v>
      </c>
      <c r="C130" s="16">
        <v>2</v>
      </c>
    </row>
    <row r="131" spans="1:3" x14ac:dyDescent="0.3">
      <c r="A131" s="31">
        <v>45325</v>
      </c>
      <c r="B131" s="16">
        <v>42000</v>
      </c>
      <c r="C131" s="16">
        <v>1</v>
      </c>
    </row>
    <row r="132" spans="1:3" x14ac:dyDescent="0.3">
      <c r="A132" s="31">
        <v>45334</v>
      </c>
      <c r="B132" s="16">
        <v>1500</v>
      </c>
      <c r="C132" s="16">
        <v>1</v>
      </c>
    </row>
    <row r="133" spans="1:3" x14ac:dyDescent="0.3">
      <c r="A133" s="31">
        <v>45350</v>
      </c>
      <c r="B133" s="16">
        <v>60000</v>
      </c>
      <c r="C133" s="16">
        <v>1</v>
      </c>
    </row>
    <row r="134" spans="1:3" x14ac:dyDescent="0.3">
      <c r="A134" s="31">
        <v>45353</v>
      </c>
      <c r="B134" s="16">
        <v>84000</v>
      </c>
      <c r="C134" s="16">
        <v>1</v>
      </c>
    </row>
    <row r="135" spans="1:3" x14ac:dyDescent="0.3">
      <c r="A135" s="31">
        <v>45356</v>
      </c>
      <c r="B135" s="16">
        <v>280000</v>
      </c>
      <c r="C135" s="16">
        <v>1</v>
      </c>
    </row>
    <row r="136" spans="1:3" x14ac:dyDescent="0.3">
      <c r="A136" s="31">
        <v>45383</v>
      </c>
      <c r="B136" s="16">
        <v>24000</v>
      </c>
      <c r="C136" s="16">
        <v>1</v>
      </c>
    </row>
    <row r="137" spans="1:3" x14ac:dyDescent="0.3">
      <c r="A137" s="31">
        <v>45392</v>
      </c>
      <c r="B137" s="16">
        <v>4500</v>
      </c>
      <c r="C137" s="16">
        <v>1</v>
      </c>
    </row>
    <row r="138" spans="1:3" x14ac:dyDescent="0.3">
      <c r="A138" s="31">
        <v>45396</v>
      </c>
      <c r="B138" s="16">
        <v>280000</v>
      </c>
      <c r="C138" s="16">
        <v>1</v>
      </c>
    </row>
    <row r="139" spans="1:3" x14ac:dyDescent="0.3">
      <c r="A139" s="31">
        <v>45416</v>
      </c>
      <c r="B139" s="16">
        <v>120000</v>
      </c>
      <c r="C139" s="16">
        <v>1</v>
      </c>
    </row>
    <row r="140" spans="1:3" x14ac:dyDescent="0.3">
      <c r="A140" s="31">
        <v>45444</v>
      </c>
      <c r="B140" s="16">
        <v>1500</v>
      </c>
      <c r="C140" s="16">
        <v>1</v>
      </c>
    </row>
    <row r="141" spans="1:3" x14ac:dyDescent="0.3">
      <c r="A141" s="31">
        <v>45446</v>
      </c>
      <c r="B141" s="16">
        <v>180000</v>
      </c>
      <c r="C141" s="16">
        <v>1</v>
      </c>
    </row>
    <row r="142" spans="1:3" x14ac:dyDescent="0.3">
      <c r="A142" s="31">
        <v>45447</v>
      </c>
      <c r="B142" s="16">
        <v>54000</v>
      </c>
      <c r="C142" s="16">
        <v>1</v>
      </c>
    </row>
    <row r="143" spans="1:3" x14ac:dyDescent="0.3">
      <c r="A143" s="31">
        <v>45458</v>
      </c>
      <c r="B143" s="16">
        <v>315000</v>
      </c>
      <c r="C143" s="16">
        <v>1</v>
      </c>
    </row>
    <row r="144" spans="1:3" x14ac:dyDescent="0.3">
      <c r="A144" s="31">
        <v>45469</v>
      </c>
      <c r="B144" s="16">
        <v>35000</v>
      </c>
      <c r="C144" s="16">
        <v>1</v>
      </c>
    </row>
    <row r="145" spans="1:3" x14ac:dyDescent="0.3">
      <c r="A145" s="31">
        <v>45487</v>
      </c>
      <c r="B145" s="16">
        <v>60000</v>
      </c>
      <c r="C145" s="16">
        <v>1</v>
      </c>
    </row>
    <row r="146" spans="1:3" x14ac:dyDescent="0.3">
      <c r="A146" s="31">
        <v>45496</v>
      </c>
      <c r="B146" s="16">
        <v>105000</v>
      </c>
      <c r="C146" s="16">
        <v>1</v>
      </c>
    </row>
    <row r="147" spans="1:3" x14ac:dyDescent="0.3">
      <c r="A147" s="31">
        <v>45503</v>
      </c>
      <c r="B147" s="16">
        <v>140000</v>
      </c>
      <c r="C147" s="16">
        <v>1</v>
      </c>
    </row>
    <row r="148" spans="1:3" x14ac:dyDescent="0.3">
      <c r="A148" s="31">
        <v>45535</v>
      </c>
      <c r="B148" s="16">
        <v>84000</v>
      </c>
      <c r="C148" s="16">
        <v>1</v>
      </c>
    </row>
    <row r="149" spans="1:3" x14ac:dyDescent="0.3">
      <c r="A149" s="31">
        <v>45563</v>
      </c>
      <c r="B149" s="16">
        <v>7500</v>
      </c>
      <c r="C149" s="16">
        <v>2</v>
      </c>
    </row>
    <row r="150" spans="1:3" x14ac:dyDescent="0.3">
      <c r="A150" s="31">
        <v>45596</v>
      </c>
      <c r="B150" s="16">
        <v>132000</v>
      </c>
      <c r="C150" s="16">
        <v>2</v>
      </c>
    </row>
    <row r="151" spans="1:3" x14ac:dyDescent="0.3">
      <c r="A151" s="31">
        <v>45598</v>
      </c>
      <c r="B151" s="16">
        <v>24000</v>
      </c>
      <c r="C151" s="16">
        <v>1</v>
      </c>
    </row>
    <row r="152" spans="1:3" x14ac:dyDescent="0.3">
      <c r="A152" s="31">
        <v>45606</v>
      </c>
      <c r="B152" s="16">
        <v>40000</v>
      </c>
      <c r="C152" s="16">
        <v>1</v>
      </c>
    </row>
    <row r="153" spans="1:3" x14ac:dyDescent="0.3">
      <c r="A153" s="31">
        <v>45626</v>
      </c>
      <c r="B153" s="16">
        <v>180000</v>
      </c>
      <c r="C153" s="16">
        <v>1</v>
      </c>
    </row>
    <row r="154" spans="1:3" x14ac:dyDescent="0.3">
      <c r="A154" s="31">
        <v>45629</v>
      </c>
      <c r="B154" s="16">
        <v>40000</v>
      </c>
      <c r="C154" s="16">
        <v>1</v>
      </c>
    </row>
    <row r="155" spans="1:3" x14ac:dyDescent="0.3">
      <c r="A155" s="31">
        <v>45630</v>
      </c>
      <c r="B155" s="16">
        <v>12000</v>
      </c>
      <c r="C155" s="16">
        <v>1</v>
      </c>
    </row>
    <row r="156" spans="1:3" x14ac:dyDescent="0.3">
      <c r="A156" s="31">
        <v>45634</v>
      </c>
      <c r="B156" s="16">
        <v>200000</v>
      </c>
      <c r="C156" s="16">
        <v>1</v>
      </c>
    </row>
    <row r="157" spans="1:3" x14ac:dyDescent="0.3">
      <c r="A157" s="31">
        <v>45673</v>
      </c>
      <c r="B157" s="16">
        <v>15000</v>
      </c>
      <c r="C157" s="16">
        <v>1</v>
      </c>
    </row>
    <row r="158" spans="1:3" x14ac:dyDescent="0.3">
      <c r="A158" s="31">
        <v>45686</v>
      </c>
      <c r="B158" s="16">
        <v>22500</v>
      </c>
      <c r="C158" s="16">
        <v>2</v>
      </c>
    </row>
    <row r="159" spans="1:3" x14ac:dyDescent="0.3">
      <c r="A159" s="31">
        <v>45708</v>
      </c>
      <c r="B159" s="16">
        <v>12000</v>
      </c>
      <c r="C159" s="16">
        <v>1</v>
      </c>
    </row>
    <row r="160" spans="1:3" x14ac:dyDescent="0.3">
      <c r="A160" s="31">
        <v>45721</v>
      </c>
      <c r="B160" s="16">
        <v>340000</v>
      </c>
      <c r="C160" s="16">
        <v>2</v>
      </c>
    </row>
    <row r="161" spans="1:3" x14ac:dyDescent="0.3">
      <c r="A161" s="31">
        <v>45750</v>
      </c>
      <c r="B161" s="16">
        <v>30000</v>
      </c>
      <c r="C161" s="16">
        <v>1</v>
      </c>
    </row>
    <row r="162" spans="1:3" x14ac:dyDescent="0.3">
      <c r="A162" s="31">
        <v>45761</v>
      </c>
      <c r="B162" s="16">
        <v>70000</v>
      </c>
      <c r="C162" s="16">
        <v>1</v>
      </c>
    </row>
    <row r="163" spans="1:3" x14ac:dyDescent="0.3">
      <c r="A163" s="31">
        <v>45772</v>
      </c>
      <c r="B163" s="16">
        <v>36000</v>
      </c>
      <c r="C163" s="16">
        <v>1</v>
      </c>
    </row>
    <row r="164" spans="1:3" x14ac:dyDescent="0.3">
      <c r="A164" s="31">
        <v>45781</v>
      </c>
      <c r="B164" s="16">
        <v>12000</v>
      </c>
      <c r="C164" s="16">
        <v>1</v>
      </c>
    </row>
    <row r="165" spans="1:3" x14ac:dyDescent="0.3">
      <c r="A165" s="31">
        <v>45789</v>
      </c>
      <c r="B165" s="16">
        <v>140000</v>
      </c>
      <c r="C165" s="16">
        <v>1</v>
      </c>
    </row>
    <row r="166" spans="1:3" x14ac:dyDescent="0.3">
      <c r="A166" s="31">
        <v>45795</v>
      </c>
      <c r="B166" s="16">
        <v>80000</v>
      </c>
      <c r="C166" s="16">
        <v>1</v>
      </c>
    </row>
    <row r="167" spans="1:3" x14ac:dyDescent="0.3">
      <c r="A167" s="31">
        <v>45797</v>
      </c>
      <c r="B167" s="16">
        <v>40000</v>
      </c>
      <c r="C167" s="16">
        <v>1</v>
      </c>
    </row>
    <row r="168" spans="1:3" x14ac:dyDescent="0.3">
      <c r="A168" s="31">
        <v>45800</v>
      </c>
      <c r="B168" s="16">
        <v>12000</v>
      </c>
      <c r="C168" s="16">
        <v>1</v>
      </c>
    </row>
    <row r="169" spans="1:3" x14ac:dyDescent="0.3">
      <c r="A169" s="31">
        <v>45809</v>
      </c>
      <c r="B169" s="16">
        <v>9000</v>
      </c>
      <c r="C169" s="16">
        <v>1</v>
      </c>
    </row>
    <row r="170" spans="1:3" x14ac:dyDescent="0.3">
      <c r="A170" s="31">
        <v>45818</v>
      </c>
      <c r="B170" s="16">
        <v>80000</v>
      </c>
      <c r="C170" s="16">
        <v>1</v>
      </c>
    </row>
    <row r="171" spans="1:3" x14ac:dyDescent="0.3">
      <c r="A171" s="31">
        <v>45823</v>
      </c>
      <c r="B171" s="16">
        <v>315000</v>
      </c>
      <c r="C171" s="16">
        <v>1</v>
      </c>
    </row>
    <row r="172" spans="1:3" x14ac:dyDescent="0.3">
      <c r="A172" s="31">
        <v>45879</v>
      </c>
      <c r="B172" s="16">
        <v>54000</v>
      </c>
      <c r="C172" s="16">
        <v>1</v>
      </c>
    </row>
    <row r="173" spans="1:3" x14ac:dyDescent="0.3">
      <c r="A173" s="31">
        <v>45888</v>
      </c>
      <c r="B173" s="16">
        <v>140000</v>
      </c>
      <c r="C173" s="16">
        <v>1</v>
      </c>
    </row>
    <row r="174" spans="1:3" x14ac:dyDescent="0.3">
      <c r="A174" s="31">
        <v>45889</v>
      </c>
      <c r="B174" s="16">
        <v>105000</v>
      </c>
      <c r="C174" s="16">
        <v>1</v>
      </c>
    </row>
    <row r="175" spans="1:3" x14ac:dyDescent="0.3">
      <c r="A175" s="31">
        <v>45892</v>
      </c>
      <c r="B175" s="16">
        <v>100000</v>
      </c>
      <c r="C175" s="16">
        <v>1</v>
      </c>
    </row>
    <row r="176" spans="1:3" x14ac:dyDescent="0.3">
      <c r="A176" s="31">
        <v>45895</v>
      </c>
      <c r="B176" s="16">
        <v>40000</v>
      </c>
      <c r="C176" s="16">
        <v>1</v>
      </c>
    </row>
    <row r="177" spans="1:3" x14ac:dyDescent="0.3">
      <c r="A177" s="31">
        <v>45900</v>
      </c>
      <c r="B177" s="16">
        <v>210000</v>
      </c>
      <c r="C177" s="16">
        <v>1</v>
      </c>
    </row>
    <row r="178" spans="1:3" x14ac:dyDescent="0.3">
      <c r="A178" s="31">
        <v>45903</v>
      </c>
      <c r="B178" s="16">
        <v>200000</v>
      </c>
      <c r="C178" s="16">
        <v>1</v>
      </c>
    </row>
    <row r="179" spans="1:3" x14ac:dyDescent="0.3">
      <c r="A179" s="31">
        <v>45922</v>
      </c>
      <c r="B179" s="16">
        <v>36000</v>
      </c>
      <c r="C179" s="16">
        <v>1</v>
      </c>
    </row>
    <row r="180" spans="1:3" x14ac:dyDescent="0.3">
      <c r="A180" s="31">
        <v>45925</v>
      </c>
      <c r="B180" s="16">
        <v>245000</v>
      </c>
      <c r="C180" s="16">
        <v>1</v>
      </c>
    </row>
    <row r="181" spans="1:3" x14ac:dyDescent="0.3">
      <c r="A181" s="31">
        <v>45927</v>
      </c>
      <c r="B181" s="16">
        <v>120000</v>
      </c>
      <c r="C181" s="16">
        <v>1</v>
      </c>
    </row>
    <row r="182" spans="1:3" x14ac:dyDescent="0.3">
      <c r="A182" s="31">
        <v>45936</v>
      </c>
      <c r="B182" s="16">
        <v>12000</v>
      </c>
      <c r="C182" s="16">
        <v>1</v>
      </c>
    </row>
    <row r="183" spans="1:3" x14ac:dyDescent="0.3">
      <c r="A183" s="31">
        <v>45942</v>
      </c>
      <c r="B183" s="16">
        <v>12000</v>
      </c>
      <c r="C183" s="16">
        <v>1</v>
      </c>
    </row>
    <row r="184" spans="1:3" x14ac:dyDescent="0.3">
      <c r="A184" s="31">
        <v>45955</v>
      </c>
      <c r="B184" s="16">
        <v>6000</v>
      </c>
      <c r="C184" s="16">
        <v>1</v>
      </c>
    </row>
    <row r="185" spans="1:3" x14ac:dyDescent="0.3">
      <c r="A185" s="31">
        <v>45960</v>
      </c>
      <c r="B185" s="16">
        <v>36000</v>
      </c>
      <c r="C185" s="16">
        <v>1</v>
      </c>
    </row>
    <row r="186" spans="1:3" x14ac:dyDescent="0.3">
      <c r="A186" s="31">
        <v>45979</v>
      </c>
      <c r="B186" s="16">
        <v>36000</v>
      </c>
      <c r="C186" s="16">
        <v>1</v>
      </c>
    </row>
    <row r="187" spans="1:3" x14ac:dyDescent="0.3">
      <c r="A187" s="31">
        <v>45994</v>
      </c>
      <c r="B187" s="16">
        <v>10500</v>
      </c>
      <c r="C187" s="16">
        <v>1</v>
      </c>
    </row>
    <row r="188" spans="1:3" x14ac:dyDescent="0.3">
      <c r="A188" s="31">
        <v>46006</v>
      </c>
      <c r="B188" s="16">
        <v>140000</v>
      </c>
      <c r="C188" s="16">
        <v>1</v>
      </c>
    </row>
    <row r="189" spans="1:3" x14ac:dyDescent="0.3">
      <c r="A189" s="31">
        <v>46013</v>
      </c>
      <c r="B189" s="16">
        <v>105000</v>
      </c>
      <c r="C189" s="16">
        <v>1</v>
      </c>
    </row>
    <row r="190" spans="1:3" x14ac:dyDescent="0.3">
      <c r="A190" s="31" t="s">
        <v>426</v>
      </c>
      <c r="B190" s="16">
        <v>16140000</v>
      </c>
      <c r="C190" s="16">
        <v>200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B1" workbookViewId="0">
      <selection activeCell="R25" sqref="R25"/>
    </sheetView>
  </sheetViews>
  <sheetFormatPr defaultRowHeight="14.4" x14ac:dyDescent="0.3"/>
  <cols>
    <col min="1" max="1" width="12.6640625" customWidth="1"/>
    <col min="2" max="2" width="17.6640625" bestFit="1" customWidth="1"/>
  </cols>
  <sheetData>
    <row r="3" spans="1:2" x14ac:dyDescent="0.3">
      <c r="A3" s="17" t="s">
        <v>427</v>
      </c>
      <c r="B3" t="s">
        <v>432</v>
      </c>
    </row>
    <row r="4" spans="1:2" x14ac:dyDescent="0.3">
      <c r="A4" s="18" t="s">
        <v>210</v>
      </c>
      <c r="B4" s="16">
        <v>174000</v>
      </c>
    </row>
    <row r="5" spans="1:2" x14ac:dyDescent="0.3">
      <c r="A5" s="18" t="s">
        <v>217</v>
      </c>
      <c r="B5" s="16">
        <v>166000</v>
      </c>
    </row>
    <row r="6" spans="1:2" x14ac:dyDescent="0.3">
      <c r="A6" s="18" t="s">
        <v>208</v>
      </c>
      <c r="B6" s="16">
        <v>437000</v>
      </c>
    </row>
    <row r="7" spans="1:2" x14ac:dyDescent="0.3">
      <c r="A7" s="18" t="s">
        <v>207</v>
      </c>
      <c r="B7" s="16">
        <v>652000</v>
      </c>
    </row>
    <row r="8" spans="1:2" x14ac:dyDescent="0.3">
      <c r="A8" s="18" t="s">
        <v>216</v>
      </c>
      <c r="B8" s="16">
        <v>188000</v>
      </c>
    </row>
    <row r="9" spans="1:2" x14ac:dyDescent="0.3">
      <c r="A9" s="18" t="s">
        <v>206</v>
      </c>
      <c r="B9" s="16">
        <v>279000</v>
      </c>
    </row>
    <row r="10" spans="1:2" x14ac:dyDescent="0.3">
      <c r="A10" s="18" t="s">
        <v>213</v>
      </c>
      <c r="B10" s="16">
        <v>146000</v>
      </c>
    </row>
    <row r="11" spans="1:2" x14ac:dyDescent="0.3">
      <c r="A11" s="18" t="s">
        <v>215</v>
      </c>
      <c r="B11" s="16">
        <v>225000</v>
      </c>
    </row>
    <row r="12" spans="1:2" x14ac:dyDescent="0.3">
      <c r="A12" s="18" t="s">
        <v>214</v>
      </c>
      <c r="B12" s="16">
        <v>663000</v>
      </c>
    </row>
    <row r="13" spans="1:2" x14ac:dyDescent="0.3">
      <c r="A13" s="18" t="s">
        <v>209</v>
      </c>
      <c r="B13" s="16">
        <v>883000</v>
      </c>
    </row>
    <row r="14" spans="1:2" x14ac:dyDescent="0.3">
      <c r="A14" s="18" t="s">
        <v>211</v>
      </c>
      <c r="B14" s="16">
        <v>513000</v>
      </c>
    </row>
    <row r="15" spans="1:2" x14ac:dyDescent="0.3">
      <c r="A15" s="18" t="s">
        <v>212</v>
      </c>
      <c r="B15" s="16">
        <v>457000</v>
      </c>
    </row>
    <row r="16" spans="1:2" x14ac:dyDescent="0.3">
      <c r="A16" s="18" t="s">
        <v>426</v>
      </c>
      <c r="B16" s="16">
        <v>4783000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28" sqref="J28"/>
    </sheetView>
  </sheetViews>
  <sheetFormatPr defaultRowHeight="14.4" x14ac:dyDescent="0.3"/>
  <cols>
    <col min="1" max="1" width="12.5546875" bestFit="1" customWidth="1"/>
    <col min="2" max="2" width="16" bestFit="1" customWidth="1"/>
  </cols>
  <sheetData>
    <row r="3" spans="1:2" x14ac:dyDescent="0.3">
      <c r="A3" s="17" t="s">
        <v>427</v>
      </c>
      <c r="B3" t="s">
        <v>439</v>
      </c>
    </row>
    <row r="4" spans="1:2" x14ac:dyDescent="0.3">
      <c r="A4" s="18" t="s">
        <v>443</v>
      </c>
      <c r="B4" s="16">
        <v>74</v>
      </c>
    </row>
    <row r="5" spans="1:2" x14ac:dyDescent="0.3">
      <c r="A5" s="18" t="s">
        <v>444</v>
      </c>
      <c r="B5" s="16">
        <v>150</v>
      </c>
    </row>
    <row r="6" spans="1:2" x14ac:dyDescent="0.3">
      <c r="A6" s="18" t="s">
        <v>445</v>
      </c>
      <c r="B6" s="16">
        <v>788</v>
      </c>
    </row>
    <row r="7" spans="1:2" x14ac:dyDescent="0.3">
      <c r="A7" s="18" t="s">
        <v>426</v>
      </c>
      <c r="B7" s="16">
        <v>1012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DataBase</vt:lpstr>
      <vt:lpstr>DashBorad</vt:lpstr>
      <vt:lpstr>Line Chart</vt:lpstr>
      <vt:lpstr>Pie Chart</vt:lpstr>
      <vt:lpstr>10</vt:lpstr>
      <vt:lpstr>BarChart</vt:lpstr>
      <vt:lpstr>Slicer</vt:lpstr>
      <vt:lpstr>Bar</vt:lpstr>
      <vt:lpstr>1</vt:lpstr>
      <vt:lpstr>7</vt:lpstr>
      <vt:lpstr>8</vt:lpstr>
      <vt:lpstr>3</vt:lpstr>
      <vt:lpstr>4</vt:lpstr>
      <vt:lpstr>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Nirjala Barke</dc:creator>
  <cp:lastModifiedBy>shree</cp:lastModifiedBy>
  <dcterms:created xsi:type="dcterms:W3CDTF">2026-02-04T11:27:07Z</dcterms:created>
  <dcterms:modified xsi:type="dcterms:W3CDTF">2026-04-08T11:19:10Z</dcterms:modified>
</cp:coreProperties>
</file>